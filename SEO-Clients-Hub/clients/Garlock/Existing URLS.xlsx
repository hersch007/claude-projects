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a\Documents\Claude Projects\SEO-Clients-Hub\clients\Garlock\"/>
    </mc:Choice>
  </mc:AlternateContent>
  <xr:revisionPtr revIDLastSave="0" documentId="13_ncr:1_{08E7B41A-D408-41E5-9D10-3E40FAC3AC1A}" xr6:coauthVersionLast="47" xr6:coauthVersionMax="47" xr10:uidLastSave="{00000000-0000-0000-0000-000000000000}"/>
  <bookViews>
    <workbookView xWindow="-98" yWindow="-98" windowWidth="19396" windowHeight="11475" xr2:uid="{9433DC53-E07D-4FD8-9C3B-AE4E502875F3}"/>
  </bookViews>
  <sheets>
    <sheet name="Sheet1" sheetId="1" r:id="rId1"/>
  </sheets>
  <definedNames>
    <definedName name="_xlnm._FilterDatabase" localSheetId="0" hidden="1">Sheet1!$A$1:$AF$121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21" i="1" l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Richard Brashear</author>
  </authors>
  <commentList>
    <comment ref="S1" authorId="0" shapeId="0" xr:uid="{CDA820E9-2627-4A0F-B91A-29C2B137AF4A}">
      <text>
        <r>
          <rPr>
            <b/>
            <sz val="9"/>
            <color indexed="81"/>
            <rFont val="Tahoma"/>
            <charset val="1"/>
          </rPr>
          <t>CREATIVE TEAM: Set to 'Yes' whenever you change or swap an image on this page. That flags the row (Page + URL turn amber) so the alt text gets re-reviewed. Set back to 'No' once the alt text has been reviewed/updated.</t>
        </r>
      </text>
    </comment>
    <comment ref="X1" authorId="0" shapeId="0" xr:uid="{9DB3FD1D-C263-4C19-9526-33359529B704}">
      <text>
        <r>
          <rPr>
            <b/>
            <sz val="9"/>
            <color indexed="81"/>
            <rFont val="Tahoma"/>
            <family val="2"/>
          </rPr>
          <t>Work-category LABELS only (mark = category touched this page). These are NOT hours - actual hours live in the timesheet. #8 SEO Tracking/HubSpot is client-billable.</t>
        </r>
      </text>
    </comment>
  </commentList>
</comments>
</file>

<file path=xl/sharedStrings.xml><?xml version="1.0" encoding="utf-8"?>
<sst xmlns="http://schemas.openxmlformats.org/spreadsheetml/2006/main" count="2321" uniqueCount="631">
  <si>
    <t>Page (HubSpot Editor)</t>
  </si>
  <si>
    <t>Live URL</t>
  </si>
  <si>
    <t>Page Type</t>
  </si>
  <si>
    <t>Priority</t>
  </si>
  <si>
    <t>AISEO</t>
  </si>
  <si>
    <t>Meta Desc</t>
  </si>
  <si>
    <t>Images Alt Text</t>
  </si>
  <si>
    <t>Brand Update (Images)</t>
  </si>
  <si>
    <t>Content Update (New Brand)</t>
  </si>
  <si>
    <t>Schema / FAQ</t>
  </si>
  <si>
    <t>Internal Linking</t>
  </si>
  <si>
    <t>Owner / Assigned To</t>
  </si>
  <si>
    <t>Target Date</t>
  </si>
  <si>
    <t>Date Completed</t>
  </si>
  <si>
    <t>% Complete</t>
  </si>
  <si>
    <t>Notes / Team Comments</t>
  </si>
  <si>
    <t>Aerospace packaging - C-P Flexible Packaging</t>
  </si>
  <si>
    <t>https://gcpflexpack-24024882.hs-sites.com/markets/aerospace-packaging/</t>
  </si>
  <si>
    <t>Market</t>
  </si>
  <si>
    <t>Not Started</t>
  </si>
  <si>
    <t>Autoclave bags | C-P Flexible Packaging</t>
  </si>
  <si>
    <t>https://gcpflexpack-24024882.hs-sites.com/products/bags/autoclave-bags</t>
  </si>
  <si>
    <t>Product</t>
  </si>
  <si>
    <t>Bags | C-P Flexible Packaging</t>
  </si>
  <si>
    <t>https://gcpflexpack-24024882.hs-sites.com/products/bags</t>
  </si>
  <si>
    <t>Bags with customized die-cut windows | C-P Flexible Packaging</t>
  </si>
  <si>
    <t>https://gcpflexpack-24024882.hs-sites.com/products/printed-rollstock/laser-die-cut-window-rollstock</t>
  </si>
  <si>
    <t>Child-Resistant Flexible Packaging | C-P Flexible Packaging</t>
  </si>
  <si>
    <t>https://gcpflexpack-24024882.hs-sites.com/products/printed-rollstock/child-resistant-flexible-packaging</t>
  </si>
  <si>
    <t>Cleanroom bags | C-P Flexible Packaging</t>
  </si>
  <si>
    <t>https://gcpflexpack-24024882.hs-sites.com/products/bags/cleanroom-bags</t>
  </si>
  <si>
    <t>Coffee &amp; beverage packaging - C-P Flexible Packaging</t>
  </si>
  <si>
    <t>https://gcpflexpack-24024882.hs-sites.com/markets/coffee</t>
  </si>
  <si>
    <t>Cold-Seal Packaging | C-P Flexible Packaging</t>
  </si>
  <si>
    <t>https://gcpflexpack-24024882.hs-sites.com/products/cold-seal-packaging</t>
  </si>
  <si>
    <t>Compostable Flexible Packaging | C-P Flexible Packaging</t>
  </si>
  <si>
    <t>https://gcpflexpack-24024882.hs-sites.com/products/printed-rollstock/compostable-flexible-packaging</t>
  </si>
  <si>
    <t>Compostable Pouches | C-P Flexible Packaging</t>
  </si>
  <si>
    <t>https://gcpflexpack-24024882.hs-sites.com/products/premade-pouches/compostable-pouches</t>
  </si>
  <si>
    <t>Confectionery packaging - C-P Flexible Packaging</t>
  </si>
  <si>
    <t>https://gcpflexpack-24024882.hs-sites.com/markets/confectionery</t>
  </si>
  <si>
    <t>Cookie &amp; bakery product packaging - C-P Flexible Packaging</t>
  </si>
  <si>
    <t>https://gcpflexpack-24024882.hs-sites.com/markets/cookies-bakery-products/</t>
  </si>
  <si>
    <t>Custom shrink bands | C-P Flexible Packaging</t>
  </si>
  <si>
    <t>https://gcpflexpack-24024882.hs-sites.com/products/printed-rollstock/shrink-bands</t>
  </si>
  <si>
    <t>Download Your Cold-Seal Packaging Guide | C-P Flexible Packaging</t>
  </si>
  <si>
    <t>https://gcpflexpack-24024882.hs-sites.com/cold-seal-packaging-guide</t>
  </si>
  <si>
    <t>Resource</t>
  </si>
  <si>
    <t>Flat-Bottom Pouches | C-P Flexible Packaging</t>
  </si>
  <si>
    <t>https://gcpflexpack-24024882.hs-sites.com/products/premade-pouches/flat-bottom-pouches</t>
  </si>
  <si>
    <t>Flexible Package Design &amp; Consultation | C-P Flexible Packaging</t>
  </si>
  <si>
    <t>https://gcpflexpack-24024882.hs-sites.com/capabilities/flexible-package-design-and-consultation</t>
  </si>
  <si>
    <t>Capability</t>
  </si>
  <si>
    <t>Flexible Packaging Prepress Services | C-P Flexible Packaging</t>
  </si>
  <si>
    <t>https://gcpflexpack-24024882.hs-sites.com/capabilities/flexible-packaging-prepress-services/</t>
  </si>
  <si>
    <t>GreenStream Sustainable Packaging | C-P Flexible Packaging</t>
  </si>
  <si>
    <t>https://gcpflexpack-24024882.hs-sites.com/sustainable-packaging/greenstream-products/</t>
  </si>
  <si>
    <t>Sustainability</t>
  </si>
  <si>
    <t>Health &amp; wellness packaging - C-P Flexible Packaging</t>
  </si>
  <si>
    <t>https://gcpflexpack-24024882.hs-sites.com/markets/health-wellness-packaging/</t>
  </si>
  <si>
    <t>HFFS and VFFS rollstock | C-P Flexible Packaging</t>
  </si>
  <si>
    <t>https://gcpflexpack-24024882.hs-sites.com/products/printed-rollstock/hffs-vffs-rollstock</t>
  </si>
  <si>
    <t>High Burst Strength Packaging | Over the Mountain Packaging | C-P Flexible Packaging</t>
  </si>
  <si>
    <t>https://gcpflexpack-24024882.hs-sites.com/products/printed-rollstock/high-burst-strength-flexible-packaging</t>
  </si>
  <si>
    <t>High-Barrier Flexible Packaging | C-P Flexible Packaging</t>
  </si>
  <si>
    <t>https://gcpflexpack-24024882.hs-sites.com/products/printed-rollstock/high-barrier-flexible-packaging</t>
  </si>
  <si>
    <t>High-Definition Flexographic Printing | C-P Flexible Packaging</t>
  </si>
  <si>
    <t>https://gcpflexpack-24024882.hs-sites.com/capabilities/high-definition-flexographic-printing/</t>
  </si>
  <si>
    <t>Inno-Lok® Pre-Zippered Rollstock | C-P Flexible Packaging</t>
  </si>
  <si>
    <t>https://gcpflexpack-24024882.hs-sites.com/products/printed-rollstock/inno-lok-pre-zippered-rollstock</t>
  </si>
  <si>
    <t>Internal Recycling Center | C-P Flexible Packaging</t>
  </si>
  <si>
    <t>https://gcpflexpack-24024882.hs-sites.com/sustainable-packaging/internal-recycling-facility/</t>
  </si>
  <si>
    <t>Laser-Scored Pouches Easy-Open Packaging | C-P Flexible Packaging</t>
  </si>
  <si>
    <t>https://gcpflexpack-24024882.hs-sites.com/products/premade-pouches/laser-scored-pouches-easy-open-packaging</t>
  </si>
  <si>
    <t>Lidding films | C-P Flexible Packaging</t>
  </si>
  <si>
    <t>https://gcpflexpack-24024882.hs-sites.com/products/printed-rollstock/lidding-films</t>
  </si>
  <si>
    <t>Markets - C-P Flexible Packaging</t>
  </si>
  <si>
    <t>https://gcpflexpack-24024882.hs-sites.com/markets</t>
  </si>
  <si>
    <t>Matte and gloss pouches - C-P Flexible Packaging</t>
  </si>
  <si>
    <t>https://gcpflexpack-24024882.hs-sites.com/products/premade-pouches/matte-and-gloss-pouches</t>
  </si>
  <si>
    <t>Matte/Gloss Packaging | C-P Flexible Packaging</t>
  </si>
  <si>
    <t>https://gcpflexpack-24024882.hs-sites.com/products/printed-rollstock/matte-gloss-packaging</t>
  </si>
  <si>
    <t>Medical &amp; electronics cleanroom packaging - C-P Flexible Packaging</t>
  </si>
  <si>
    <t>https://gcpflexpack-24024882.hs-sites.com/markets/medical-electronics-cleanroom-packaging/</t>
  </si>
  <si>
    <t>Nylon bags | C-P Flexible Packaging</t>
  </si>
  <si>
    <t>https://gcpflexpack-24024882.hs-sites.com/products/bags/nylon-bag</t>
  </si>
  <si>
    <t>Our companies - C-P Flexible Packaging</t>
  </si>
  <si>
    <t>https://gcpflexpack-24024882.hs-sites.com/about-us/our-companies</t>
  </si>
  <si>
    <t>Page</t>
  </si>
  <si>
    <t>Our Flexible Packaging Technology | C-P Flexible Packaging</t>
  </si>
  <si>
    <t>https://gcpflexpack-24024882.hs-sites.com/flexible-packaging-technology</t>
  </si>
  <si>
    <t>Our Flexible Packaging Products | C-P Flexible Packaging</t>
  </si>
  <si>
    <t>https://gcpflexpack-24024882.hs-sites.com/products</t>
  </si>
  <si>
    <t>Package Finishing and Pouch Converting | C-P Flexible Packaging</t>
  </si>
  <si>
    <t>https://gcpflexpack-24024882.hs-sites.com/capabilities/finishing-slitting-flexible-packaging/</t>
  </si>
  <si>
    <t>Paper flexible packaging | C-P Flexible Packaging</t>
  </si>
  <si>
    <t>https://gcpflexpack-24024882.hs-sites.com/products/printed-rollstock/paper-flexible-packaging/</t>
  </si>
  <si>
    <t>Paper pouches | C-P Flexible Packaging</t>
  </si>
  <si>
    <t>https://gcpflexpack-24024882.hs-sites.com/products/premade-pouches/paper-pouches</t>
  </si>
  <si>
    <t>Peel and Reseal Rollstock / Cookie Packaging | C-P Flexible Packaging</t>
  </si>
  <si>
    <t>https://gcpflexpack-24024882.hs-sites.com/products/printed-rollstock/peel-reseal-rollstock</t>
  </si>
  <si>
    <t>Pet food packaging - C-P Flexible Packaging</t>
  </si>
  <si>
    <t>https://gcpflexpack-24024882.hs-sites.com/markets/pet-foods/</t>
  </si>
  <si>
    <t>Poly bags | C-P Flexible Packaging</t>
  </si>
  <si>
    <t>https://gcpflexpack-24024882.hs-sites.com/products/bags/poly-bags</t>
  </si>
  <si>
    <t>Pouches With Handles | C-P Flexible Packaging</t>
  </si>
  <si>
    <t>https://gcpflexpack-24024882.hs-sites.com/products/premade-pouches/pouches-with-handles</t>
  </si>
  <si>
    <t>Privacy Policies - C-P Flexible Packaging</t>
  </si>
  <si>
    <t>https://gcpflexpack-24024882.hs-sites.com/privacy-policy</t>
  </si>
  <si>
    <t>Recyclable Flexible Packaging | C-P Flexible Packaging</t>
  </si>
  <si>
    <t>https://gcpflexpack-24024882.hs-sites.com/products/printed-rollstock/recyclable-flexible-packaging</t>
  </si>
  <si>
    <t>Recyclable Pouches | C-P Flexible Packaging</t>
  </si>
  <si>
    <t>https://gcpflexpack-24024882.hs-sites.com/products/premade-pouches/recyclable-pouches</t>
  </si>
  <si>
    <t>Request a Consultation | C-P Flexible Packaging</t>
  </si>
  <si>
    <t>https://gcpflexpack-24024882.hs-sites.com/request-a-consultation</t>
  </si>
  <si>
    <t>Roll-fed Labels | C-P Flexible Packaging</t>
  </si>
  <si>
    <t>https://gcpflexpack-24024882.hs-sites.com/products/roll-fed-labels</t>
  </si>
  <si>
    <t>Shrink Sleeves | C-P Flexible Packaging</t>
  </si>
  <si>
    <t>https://gcpflexpack-24024882.hs-sites.com/products/shrink-sleeves</t>
  </si>
  <si>
    <t>Slider Pouches | C-P Flexible Packaging</t>
  </si>
  <si>
    <t>https://gcpflexpack-24024882.hs-sites.com/products/premade-pouches/slider-pouches</t>
  </si>
  <si>
    <t>Snack food packaging - C-P Flexible Packaging</t>
  </si>
  <si>
    <t>https://gcpflexpack-24024882.hs-sites.com/markets/snack-products/</t>
  </si>
  <si>
    <t>Solar-powered Manufacturing | C-P Flexible Packaging</t>
  </si>
  <si>
    <t>https://gcpflexpack-24024882.hs-sites.com/sustainable-packaging/solar-powered-manufacturing</t>
  </si>
  <si>
    <t>Spouted Pouches | C-P Flexible Packaging</t>
  </si>
  <si>
    <t>https://gcpflexpack-24024882.hs-sites.com/products/premade-pouches/spouted-pouches</t>
  </si>
  <si>
    <t>Stand-up Pouches | C-P Flexible Packaging</t>
  </si>
  <si>
    <t>https://gcpflexpack-24024882.hs-sites.com/products/premade-pouches/stand-up-pouches</t>
  </si>
  <si>
    <t>Static shielding bags | C-P Flexible Packaging</t>
  </si>
  <si>
    <t>https://gcpflexpack-24024882.hs-sites.com/products/bags/emi-static-shielding-bags</t>
  </si>
  <si>
    <t>Stick Packs | Stick Pack Film Laminations | C-P Flexible Packaging</t>
  </si>
  <si>
    <t>https://gcpflexpack-24024882.hs-sites.com/products/printed-rollstock/stick-pack-film-laminations</t>
  </si>
  <si>
    <t>Stretch Sleeves | C-P Flexible Packaging</t>
  </si>
  <si>
    <t>https://gcpflexpack-24024882.hs-sites.com/products/stretch-sleeves</t>
  </si>
  <si>
    <t>Sustainable Packaging | C-P Flexible Packaging</t>
  </si>
  <si>
    <t>https://gcpflexpack-24024882.hs-sites.com/sustainable-packaging/</t>
  </si>
  <si>
    <t>Thermoformed Food Trays | C-P Flexible Packaging</t>
  </si>
  <si>
    <t>https://gcpflexpack-24024882.hs-sites.com/products/thermoformed-food-trays/</t>
  </si>
  <si>
    <t>Zipper Pouches | C-P Flexible Packaging</t>
  </si>
  <si>
    <t>https://gcpflexpack-24024882.hs-sites.com/products/premade-pouches/zipper-pouches</t>
  </si>
  <si>
    <t>Recommended Page Title</t>
  </si>
  <si>
    <t>Recommended Meta Description</t>
  </si>
  <si>
    <t>Complete</t>
  </si>
  <si>
    <t>Child-Resistant Flexible Packaging | ASTM D3475 Pouches &amp; Film</t>
  </si>
  <si>
    <t>Laser Die-Cut Window Rollstock | Product Visibility Packaging</t>
  </si>
  <si>
    <t>Functional Bags &amp; Pouches | Cleanroom, Static-Shielding &amp; Poly Bags</t>
  </si>
  <si>
    <t>Aerospace Packaging | ESD, Flame-Retardant &amp; Cleanroom Films</t>
  </si>
  <si>
    <t>Autoclave Bags | Steam-Sterilizable Polypropylene Bags</t>
  </si>
  <si>
    <t>Protect aerospace parts with custom flexible packaging—ESD, flame-retardant &amp; cleanroom films built for aviation. Talk to C-P Flexible Packaging today.</t>
  </si>
  <si>
    <t>Custom autoclave bags in polypropylene for steam &amp; ETO sterilization of medical instruments and biohazard waste. Get a quote from C-P Flexible Packaging.</t>
  </si>
  <si>
    <t>Custom bags &amp; pouches—autoclave, cleanroom, EMI static-shielding, nylon &amp; poly for medical, electronics &amp; aerospace. Contact C-P Flexible Packaging.</t>
  </si>
  <si>
    <t>Patented laser die-cut window rollstock adds product visibility &amp; shelf life for snacks, bakery &amp; meats. Discover DCRS from C-P Flexible Packaging.</t>
  </si>
  <si>
    <t>ASTM D3475-compliant child-resistant flexible packaging for cannabis, medications &amp; chemicals—secure yet senior-friendly. Talk to C-P Flexible Packaging.</t>
  </si>
  <si>
    <t>Implemented live 2026-06-24 (title, meta, alt - C-P Flexible Packaging brand). Service JSON-LD (gcpflexpack.com) ready to paste in Head HTML; confirm prod path. Footer cert names TBD.</t>
  </si>
  <si>
    <t>Implemented live 2026-06-24 (title, meta, alt - C-P brand). Service JSON-LD ready to paste in Head HTML. Footer cert names TBD.</t>
  </si>
  <si>
    <t>Implemented live 2026-06-24 (title, meta, alt - C-P brand). CollectionPage JSON-LD ready. Add internal links to bag sub-pages. Footer cert names TBD.</t>
  </si>
  <si>
    <t>Laser-Scored Pouches | Easy-Open Flexible Packaging</t>
  </si>
  <si>
    <t>Laser-scored pouches deliver easy-open, tear-anywhere convenience without sacrificing barrier or seal strength. Talk to C-P Flexible Packaging today.</t>
  </si>
  <si>
    <t>Cleanroom Bags | FDA-Compliant Medical &amp; Electronics Packaging</t>
  </si>
  <si>
    <t>Cleanroom bags made in contamination-controlled facilities to protect medical devices &amp; electronics. Talk to C-P Flexible Packaging today.</t>
  </si>
  <si>
    <t>Coffee &amp; Beverage Packaging | Bags, Pods, Sleeves &amp; Labels</t>
  </si>
  <si>
    <t>Custom coffee &amp; beverage packaging—retail bags, pod overwraps, shrink sleeves &amp; roll-fed labels, with sustainable options. Contact C-P Flexible Packaging.</t>
  </si>
  <si>
    <t>Cold-Seal Packaging | Heat-Sensitive Bar &amp; Snack Wraps</t>
  </si>
  <si>
    <t>Cold-seal packaging protects heat-sensitive bars and snacks at high line speeds without heat. Get the co-packer guide from C-P Flexible Packaging.</t>
  </si>
  <si>
    <t>Compostable Flexible Packaging | BPI-Certified Sustainable Films</t>
  </si>
  <si>
    <t>BPI-certified compostable flexible packaging—films, pouches, bags &amp; overwraps that break down cleanly. Explore GreenStream by C-P Flexible Packaging.</t>
  </si>
  <si>
    <t>Compostable Pouches | Plant-Based Stand-Up &amp; Frac Packs</t>
  </si>
  <si>
    <t>100% compostable pouches in plant-based films for coffee, snacks &amp; home care—stand-up, box &amp; frac packs. Talk to C-P Flexible Packaging today.</t>
  </si>
  <si>
    <t>Implemented live 2026-06-24 (title, meta, alt - C-P brand). Page is die-cut windows (not scored). No schema for this page. Footer cert lead BRCGS/SQF/AIB - confirm.</t>
  </si>
  <si>
    <t>Implemented live 2026-06-24 (title, meta, alt - C-P brand). Emphasize ASTM D3475 in copy. No schema for this page. Footer cert lead BRCGS/SQF/AIB - confirm.</t>
  </si>
  <si>
    <t>Image Changed? - Review Alt</t>
  </si>
  <si>
    <t>Yes</t>
  </si>
  <si>
    <t>Implemented live 2026-06-24 (title, meta, alt - C-P brand). Service JSON-LD ready to paste in Head HTML. Footer cert lead BRCGS/SQF/AIB - confirm.</t>
  </si>
  <si>
    <t>Implemented live 2026-06-25 (title, meta, alt - C-P brand). Service JSON-LD ready to paste in Head HTML. Co-packer guide download = conversion asset.</t>
  </si>
  <si>
    <t>Implemented live 2026-06-25 (title, meta, alt - C-P brand). Service JSON-LD ready. BPI cert = trust signal.</t>
  </si>
  <si>
    <t>Implemented live 2026-06-25 (title, meta, alt - C-P brand). Service JSON-LD ready.</t>
  </si>
  <si>
    <t>Implemented live 2026-06-25 (title, meta, alt - C-P brand). Service JSON-LD ready to paste in Head HTML. Footer cert lead BRCGS/SQF/AIB - confirm.</t>
  </si>
  <si>
    <t>Implemented live 2026-06-25 (title, meta, alt - C-P brand). Distinct from die-cut window page. Service JSON-LD ready to paste in Head HTML.</t>
  </si>
  <si>
    <t>N/A</t>
  </si>
  <si>
    <t>Confectionery Packaging | Custom Pouches, Rollstock &amp; Shrink Sleeves</t>
  </si>
  <si>
    <t>Custom confectionery packaging for candy &amp; sweets—stand-up pouches, rollstock, shrink sleeves &amp; cold-seal. Contact C-P Flexible Packaging.</t>
  </si>
  <si>
    <t>Cookie &amp; Bakery Packaging | Resealable Pouches, Slug Packs &amp; Flow Wrap</t>
  </si>
  <si>
    <t>Cookie &amp; bakery packaging with reclose technology—stand-up pouches, slug packs &amp; flow wrap that protect freshness. Talk to C-P Flexible Packaging.</t>
  </si>
  <si>
    <t>Shrink Bands | Custom PVC &amp; PETG Tamper-Evident Bands</t>
  </si>
  <si>
    <t>Custom PVC &amp; PETG shrink bands for tamper-evident sealing, bundling &amp; upselling—printed or clear, high shrink ratios. Contact C-P Flexible Packaging.</t>
  </si>
  <si>
    <t>Cold-Seal Packaging Guide | Free Download for Co-Packers</t>
  </si>
  <si>
    <t>Download the free cold-seal packaging guide—benefits, short-run feasibility &amp; how to vet a supplier. Get your copy from C-P Flexible Packaging.</t>
  </si>
  <si>
    <t>Flat-Bottom Pouches | Box &amp; Quad-Seal Pouches with Shelf Appeal</t>
  </si>
  <si>
    <t>Flat-bottom pouches—BOX POUCHES® &amp; quad-seal—for standout shelf presence and stability across coffee, snacks &amp; pet food. Talk to C-P Flexible Packaging.</t>
  </si>
  <si>
    <t>Implemented live 2026-06-25. Title/meta + 3 image alts (all empty) + Service JSON-LD ready.</t>
  </si>
  <si>
    <t>Implemented live 2026-06-25. Title/meta + 4 image alts + Service JSON-LD ready. IMG_2405 alt is best-guess - confirm subject.</t>
  </si>
  <si>
    <t>Implemented live 2026-06-26. Title/meta + 3 image alts + Service JSON-LD ready. Well-structured page.</t>
  </si>
  <si>
    <t>Implemented live 2026-06-26. Title/meta only - lead-gen landing page, no content images, no schema needed.</t>
  </si>
  <si>
    <t>Implemented live 2026-06-26. Title/meta + 1 image alt + Service JSON-LD ready. Keep BOX POUCHES® registered mark.</t>
  </si>
  <si>
    <t>Flexible Package Design &amp; Consultation | Custom Packaging Engineering</t>
  </si>
  <si>
    <t>Flexible package design &amp; consultation—from concept to prototype with barrier testing and material expertise. Talk to C-P Flexible Packaging today.</t>
  </si>
  <si>
    <t>Flexible Packaging Prepress Services | In-House Platemaking</t>
  </si>
  <si>
    <t>In-house flexible packaging prepress &amp; platemaking for greater control, color consistency &amp; faster lead times. Talk to C-P Flexible Packaging today.</t>
  </si>
  <si>
    <t>GreenStream Sustainable Packaging | Recyclable, PCR &amp; Compostable</t>
  </si>
  <si>
    <t>GreenStream sustainable packaging—recyclable, PCR, compostable, bio-sourced &amp; paper structures with How2Recycle support. Talk to C-P Flexible Packaging.</t>
  </si>
  <si>
    <t>Health &amp; Wellness Packaging | Supplements, Personal Care &amp; More</t>
  </si>
  <si>
    <t>Flexible packaging for health &amp; wellness products—vitamins, supplements, personal care &amp; better-for-you foods. Talk to C-P Flexible Packaging today.</t>
  </si>
  <si>
    <t>HFFS &amp; VFFS Rollstock | Form/Fill/Seal Packaging Films</t>
  </si>
  <si>
    <t>HFFS &amp; VFFS rollstock engineered for machinability and consistent seals on your form/fill/seal lines. Talk to C-P Flexible Packaging today.</t>
  </si>
  <si>
    <t>Implemented live 2026-06-26 (title, meta, alt, schema - all done). Canonical GreenStream page. Keep GreenStream trademark in copy.</t>
  </si>
  <si>
    <t>Implemented live 2026-06-26 (title, meta, alt, schema). Add a visible caption + source citation under the consumer-demand chart for E-E-A-T.</t>
  </si>
  <si>
    <t>Implemented live 2026-06-26 (title, meta, alt, schema). Title/meta + 1 image alt + Service JSON-LD ready. Light page - consider more process visuals.</t>
  </si>
  <si>
    <t>Implemented live 2026-06-26 (title, meta, alt, schema). Title/meta + 1 image alt + Service JSON-LD ready. In-house platemaking = differentiator.</t>
  </si>
  <si>
    <t>Implemented live 2026-06-26 (title, meta, alt, schema). Title/meta + 1 image alt + Service JSON-LD ready.</t>
  </si>
  <si>
    <t>High Burst Strength Packaging | OTM Laminations for Snacks</t>
  </si>
  <si>
    <t>High burst strength flexible packaging (OTM) with superior seal strength to survive altitude and shipping—ideal for snacks. Talk to C-P Flexible Packaging.</t>
  </si>
  <si>
    <t>High-Barrier Flexible Packaging | Oxygen &amp; Moisture Barrier Films</t>
  </si>
  <si>
    <t>High-barrier flexible packaging films that block oxygen and moisture to extend shelf life—clear or foil-free options. Talk to C-P Flexible Packaging today.</t>
  </si>
  <si>
    <t>HD Flexographic Printing | Extended Gamut Packaging Printing</t>
  </si>
  <si>
    <t>HD flexographic printing with extended gamut for vivid, consistent color at lower cost across multiple SKUs. Talk to C-P Flexible Packaging today.</t>
  </si>
  <si>
    <t>Inno-Lok® Pre-Zippered Rollstock | Resealable VFFS Packaging</t>
  </si>
  <si>
    <t>Inno-Lok® pre-zippered rollstock adds a resealable zipper on your existing VFFS line—no equipment changes. Talk to C-P Flexible Packaging today.</t>
  </si>
  <si>
    <t>Internal Recycling Facility | PE Scrap Recycling &amp; Waste Diversion</t>
  </si>
  <si>
    <t>Inside C-P's internal recycling facility—diverting millions of pounds of PE scrap from landfill each year. Explore our sustainability commitment.</t>
  </si>
  <si>
    <t>Implemented live 2026-06-26. Title/meta + 1 image alt + Service JSON-LD ready. OTM seal strength differentiator.</t>
  </si>
  <si>
    <t>Implemented live 2026-06-26. Title/meta + 1 image alt + Service JSON-LD ready. Clear high-barrier = foil alternative.</t>
  </si>
  <si>
    <t>Implemented live 2026-06-26. Title/meta + 1 image alt + Service JSON-LD ready. H1 is generic Capabilities - change to HD Flexographic Printing.</t>
  </si>
  <si>
    <t>Implemented live 2026-06-26. Title/meta + 2 image alts + Service JSON-LD ready. Keep Inno-Lok® registered mark.</t>
  </si>
  <si>
    <t>Implemented live 2026-06-26. Title/meta + 1 image alt. Informational sustainability page - no schema applies. Feature recycling stats.</t>
  </si>
  <si>
    <t>Lidding Films | Peelable &amp; High-Barrier Films for Rigid Containers</t>
  </si>
  <si>
    <t>Affirm™ lidding films—peelable, lockdown &amp; peel-reseal—for produce, meats, dairy &amp; prepared meals. Talk to C-P Flexible Packaging today.</t>
  </si>
  <si>
    <t>Markets | Flexible Packaging for Snacks, Coffee, Pet Food &amp; More</t>
  </si>
  <si>
    <t>Flexible packaging expertise across snacks, bakery, coffee, pet food, confectionery, health, medical &amp; aerospace markets. Talk to C-P Flexible Packaging.</t>
  </si>
  <si>
    <t>Matte &amp; Gloss Pouches | High-Impact Stand-Up Pouch Finishes</t>
  </si>
  <si>
    <t>Matte &amp; gloss stand-up pouches with registered finish effects for massive shelf impact and brand standout. Talk to C-P Flexible Packaging today.</t>
  </si>
  <si>
    <t>Matte/Gloss Flexible Packaging | Registered Finish Effects</t>
  </si>
  <si>
    <t>Matte/gloss flexible packaging with registered finish effects that add 3D shelf impact and brand recognition. Talk to C-P Flexible Packaging today.</t>
  </si>
  <si>
    <t>Medical &amp; Electronics Cleanroom Packaging | ISO-Class Films</t>
  </si>
  <si>
    <t>Cleanroom packaging for medical devices and electronics—antistatic, ISO-class films built for contamination control. Talk to C-P Flexible Packaging.</t>
  </si>
  <si>
    <t>Nylon Bags | Tough, Abrasion-Resistant Cleanroom &amp; Lab Packaging</t>
  </si>
  <si>
    <t>Tough, abrasion-resistant nylon bags with high-barrier protection for cleanroom, medical, lab and chemical use. Talk to C-P Flexible Packaging today.</t>
  </si>
  <si>
    <t>Our Companies | The C-P Flexible Packaging Family of Brands</t>
  </si>
  <si>
    <t>Meet the C-P Flexible Packaging family—Cleanroom Film &amp; Bags, Fruth, Preferred Packaging, Bass Flexible Packaging and Intelligraphix.</t>
  </si>
  <si>
    <t>Flexible Packaging Technology | Reclose, HD Print, Laser &amp; More</t>
  </si>
  <si>
    <t>Explore C-P's flexible packaging technology—reclose, extended-gamut HD print, die-cut windows, Inno-Lok®, laser scoring &amp; HPP lidstock.</t>
  </si>
  <si>
    <t>Flexible Packaging Products | Pouches, Rollstock, Labels &amp; Bags</t>
  </si>
  <si>
    <t>Explore the full range of flexible packaging products—premade pouches, printed rollstock, labels, sleeves, cold-seal &amp; bags. Talk to C-P Flexible Packaging.</t>
  </si>
  <si>
    <t>Implemented live 2026-06-28. Title/meta + 5 image alts + Service JSON-LD ready. Keep Affirm™ trademark.</t>
  </si>
  <si>
    <t>Implemented live 2026-06-28. Title/meta + 8 image alts + CollectionPage JSON-LD ready. Hub - reuse alts on market pages.</t>
  </si>
  <si>
    <t>Implemented live 2026-06-28. Title/meta + 1 image alt + Service JSON-LD ready. Premade pouch format - distinct from rollstock matte/gloss; cross-link.</t>
  </si>
  <si>
    <t>Implemented live 2026-06-28. Title/meta + 1 image alt + Service JSON-LD ready. Rollstock format - distinct from matte/gloss pouches; cross-link.</t>
  </si>
  <si>
    <t>Implemented live 2026-06-29. Title/meta + 7 image alts + Service JSON-LD ready. H1 is generic Technology - change to Flexible Packaging Technology.</t>
  </si>
  <si>
    <t>Implemented live 2026-06-29. Title/meta + 7 image alts + CollectionPage JSON-LD ready. H1 is generic Products - change to Flexible Packaging Products. Hub - reuse alts.</t>
  </si>
  <si>
    <t>Implemented live 2026-06-29. Title/meta + 5 image alts (company names). About page - no schema applies.</t>
  </si>
  <si>
    <t>Implemented live 2026-06-29. Title/meta + 8 image alts (all empty) + Service JSON-LD ready. Lead with largest cleanroom manufacturer.</t>
  </si>
  <si>
    <t>Implemented live 2026-06-29. Title/meta + 1 image alt + Service JSON-LD ready. Link to Cleanroom Bags + Bags hub.</t>
  </si>
  <si>
    <t>Billed - SEO</t>
  </si>
  <si>
    <t>Billed - Schema</t>
  </si>
  <si>
    <t>STILL TO BILL</t>
  </si>
  <si>
    <t>Billed</t>
  </si>
  <si>
    <t>-</t>
  </si>
  <si>
    <t>Bill Date</t>
  </si>
  <si>
    <t>Package Finishing &amp; Pouch Converting | Slitting &amp; Reseal Integration</t>
  </si>
  <si>
    <t>In-house finishing, slitting and pouch converting—plus reseal and sleeve integration—for finished flexible packaging. Talk to C-P Flexible Packaging.</t>
  </si>
  <si>
    <t>Audited 2026-06-26. Title/meta + 1 image alt + Service JSON-LD ready. H1 is generic Capabilities - change to Package Finishing &amp; Pouch Converting.</t>
  </si>
  <si>
    <t>Paper Flexible Packaging | Recyclable &amp; Compostable GreenStream™ Paper</t>
  </si>
  <si>
    <t>Paper-based flexible packaging with an eco-conscious feel—recyclable and compostable GreenStream™ Paper structures. Talk to C-P Flexible Packaging.</t>
  </si>
  <si>
    <t>Audited 2026-06-26. Title/meta + 3 image alts + Service JSON-LD ready. Keep GreenStream trademark. Distinct from Paper Pouches - cross-link.</t>
  </si>
  <si>
    <t>Paper Pouches | Recyclable &amp; Compostable GreenStream™ Paper Pouches</t>
  </si>
  <si>
    <t>Recyclable and compostable paper pouches in GreenStream™ Paper—PFAS-free, barrier options for a circular economy. Talk to C-P Flexible Packaging.</t>
  </si>
  <si>
    <t>Audited 2026-06-26. Title/meta + 4 image alts + Service JSON-LD ready. Distinct from Paper Flexible Packaging (rollstock) - cross-link.</t>
  </si>
  <si>
    <t>Peel &amp; Reseal Rollstock | Award-Winning Reclose Technology</t>
  </si>
  <si>
    <t>Peel &amp; reseal rollstock with seamless, bottom-applied reclose technology consumers love—ideal for cookies &amp; snacks. Talk to C-P Flexible Packaging.</t>
  </si>
  <si>
    <t>Audited 2026-06-26. Title/meta + 3 image alts + Service JSON-LD ready. Cross-link to Cookie &amp; Bakery (shared reclose theme).</t>
  </si>
  <si>
    <t>Pet Food Packaging | Stand-Up Pouches for Food &amp; Treats</t>
  </si>
  <si>
    <t>Custom pet food packaging—stand-up pouches, resealable bags &amp; rollstock for pet food and treats, with sustainable options. Talk to C-P Flexible Packaging.</t>
  </si>
  <si>
    <t>Audited 2026-06-26. Title/meta + 2 image alts + Service JSON-LD ready. Strong internal-link hub.</t>
  </si>
  <si>
    <t>Poly Bags | Custom-Printed Polyethylene Bags &amp; Roll Stock</t>
  </si>
  <si>
    <t>High-performance poly bags in every format—wicketed, gusseted, flip-top, die-cut handle &amp; roll stock—custom printed. Talk to C-P Flexible Packaging.</t>
  </si>
  <si>
    <t>Audited 2026-07-10. Title/meta + 8 image alts + Service JSON-LD ready. Strong keyword-rich page.</t>
  </si>
  <si>
    <t>Pouches With Handles | Easy-Carry Stand-Up Pouch Packaging</t>
  </si>
  <si>
    <t>Pouches with handles for easy carrying, pouring and dispensing—die-cut and ergonomic handles for beverages, pet food &amp; more. Talk to C-P Flexible Packaging.</t>
  </si>
  <si>
    <t>Audited 2026-07-10. Title/meta + 1 image alt + Service JSON-LD ready. Link to related pouch formats.</t>
  </si>
  <si>
    <t>Privacy Policy | C-P Flexible Packaging</t>
  </si>
  <si>
    <t>C-P Flexible Packaging privacy policy, including California employee/applicant notice and our cookies policy.</t>
  </si>
  <si>
    <t>Audited 2026-07-15. Title/meta only - legal/compliance page, no images, no schema.</t>
  </si>
  <si>
    <t>Recyclable Flexible Packaging | Mono-Material &amp; PCR Films</t>
  </si>
  <si>
    <t>Recyclable flexible packaging in mono-material PE and up to 100% post-consumer recycled (PCR) films. Talk to C-P Flexible Packaging today.</t>
  </si>
  <si>
    <t>Audited 2026-07-15. Title/meta + 1 image alt + Service JSON-LD ready. Distinct from Recyclable Pouches - cross-link.</t>
  </si>
  <si>
    <t>Recyclable Pouches | Mono-Material &amp; PCR Stand-Up Pouches</t>
  </si>
  <si>
    <t>Recyclable pouches in mono-material PE and PCR resins—up to 60% less plastic than rigid containers. Talk to C-P Flexible Packaging today.</t>
  </si>
  <si>
    <t>Audited 2026-07-15. Title/meta + 1 image alt + Service JSON-LD ready. Distinct from Recyclable Flexible Packaging (rollstock) - cross-link. 60% less plastic proof point.</t>
  </si>
  <si>
    <t>Request a Consultation | Flexible Packaging Experts</t>
  </si>
  <si>
    <t>Struggling with delivery, quality or cost from your packaging supplier? Schedule a consultation with C-P Flexible Packaging.</t>
  </si>
  <si>
    <t>Audited 2026-07-15. Title/meta only - lead-gen landing page, no schema. H1 is sitewide CTA heading - change to Request a Consultation.</t>
  </si>
  <si>
    <t>Roll-Fed Labels | 360° Wraparound Film Labels for Bottles &amp; Jars</t>
  </si>
  <si>
    <t>Roll-fed wraparound labels deliver bold 360° branding without adhesive, with extended gamut printing. Talk to C-P Flexible Packaging today.</t>
  </si>
  <si>
    <t>Audited 2026-07-15. Title/meta + 2 image alts + Service JSON-LD ready. Extended gamut + no-adhesive are differentiators.</t>
  </si>
  <si>
    <t>Shrink Sleeves | 360° Shrink Sleeve Labels &amp; Sustainable Options</t>
  </si>
  <si>
    <t>Full-body shrink sleeves with distortion-tested graphics for maximum shelf impact—plus recyclable options. Talk to C-P Flexible Packaging today.</t>
  </si>
  <si>
    <t>Audited 2026-07-24. Title/meta + 5 image alts + Service JSON-LD ready. Distortion-tested graphics = differentiator.</t>
  </si>
  <si>
    <t>Slider Pouches | Resealable Slider Zipper Pouch Packaging</t>
  </si>
  <si>
    <t>Slider pouches with easy-open, resealable zippers—low-profile, high-retention and child-resistant options. Talk to C-P Flexible Packaging today.</t>
  </si>
  <si>
    <t>Audited 2026-07-24. Title/meta + 1 image alt + Service JSON-LD ready. Slider variety = differentiator.</t>
  </si>
  <si>
    <t>Snack Food Packaging | Pillow Bags, Flow Wrap &amp; Stand-Up Pouches</t>
  </si>
  <si>
    <t>Custom snack food packaging—pillow bags, flow wrap, stand-up pouches &amp; rollstock with easy-open and resealable options. Talk to C-P Flexible Packaging.</t>
  </si>
  <si>
    <t>Audited 2026-07-24. Title/meta + 3 image alts + Service JSON-LD ready. Link to snack formats.</t>
  </si>
  <si>
    <t>Solar-Powered Manufacturing | Renewable Energy at C-P</t>
  </si>
  <si>
    <t>C-P Flexible Packaging powers its cleanroom facility with on-site solar, cutting carbon emissions and energy costs. Explore our sustainability commitment.</t>
  </si>
  <si>
    <t>Audited 2026-07-24. Title/meta + 2 image alts. Informational sustainability page - no schema. Feature solar/CO2 figures.</t>
  </si>
  <si>
    <t>Spouted Pouches | Stand-Up Pouches With Spout Fitments</t>
  </si>
  <si>
    <t>Spouted pouches deliver easy pouring and portability—a lightweight alternative to rigid bottles for beverages &amp; more. Talk to C-P Flexible Packaging.</t>
  </si>
  <si>
    <t>Audited 2026-07-24. Title/meta + 1 image alt + Service JSON-LD ready. Rigid-to-flexible migration angle.</t>
  </si>
  <si>
    <t>Stand-Up Pouches | Custom Premade Pouches With Any Closure</t>
  </si>
  <si>
    <t>Custom stand-up pouches with any closure—zipper, slider, spout or resealable—plus recyclable &amp; compostable options. Talk to C-P Flexible Packaging.</t>
  </si>
  <si>
    <t>Audited 2026-07-27. Title/meta + 1 image alt + Service JSON-LD ready. Pouch-format hub - link to all pouch types.</t>
  </si>
  <si>
    <t>EMI Static Shielding Bags | ESD Protection for Electronics</t>
  </si>
  <si>
    <t>EMI static shielding bags with multilayer Faraday-cage construction to protect electronics from static and ESD. Talk to C-P Flexible Packaging today.</t>
  </si>
  <si>
    <t>Audited 2026-07-27. Title/meta + 2 image alts + Service JSON-LD ready. ISO 9001 + Faraday-cage trust signals.</t>
  </si>
  <si>
    <t>Stick Packs | Single-Serve Stick Pack Film Laminations</t>
  </si>
  <si>
    <t>Stick pack film laminations for single-serve, on-the-go portability—engineered for high-speed VFFS lines. Talk to C-P Flexible Packaging today.</t>
  </si>
  <si>
    <t>Audited 2026-07-27. Title/meta + 1 image alt + Service JSON-LD ready. Single-serve/VFFS angle.</t>
  </si>
  <si>
    <t>Stretch Sleeves | Recyclable 360° Mono-Material Labels</t>
  </si>
  <si>
    <t>Recyclable stretch sleeves in mono-material PE for 360° branding on bottles and jugs—no adhesive, no distortion. Talk to C-P Flexible Packaging.</t>
  </si>
  <si>
    <t>Audited 2026-07-27. Title/meta + 5 image alts + Service JSON-LD ready. Mono-material + C-FiT. Cross-link Shrink Sleeves.</t>
  </si>
  <si>
    <t>Sustainable Packaging | Recyclable, Compostable &amp; PCR Solutions</t>
  </si>
  <si>
    <t>Sustainable flexible packaging—recyclable, compostable, PCR and renewable materials, plus source reduction and GreenStream™. Talk to C-P Flexible Packaging.</t>
  </si>
  <si>
    <t>Audited 2026-07-27. Title/meta + 4 image alts + CollectionPage JSON-LD ready. Top sustainability hub. Keep GreenStream trademark.</t>
  </si>
  <si>
    <t>Thermoformed Food Trays | Retail &amp; Institutional Meal Trays</t>
  </si>
  <si>
    <t>Thermoformed food trays for retail produce and meat plus institutional meal service—custom-converted and microwavable. Talk to C-P Flexible Packaging.</t>
  </si>
  <si>
    <t>Audited 2026-07-27. Title/meta + 4 image alts + Service JSON-LD ready. Dual-market. Preferred Packaging heritage.</t>
  </si>
  <si>
    <t>Zipper Pouches | Cost-Effective Resealable Premade Pouches</t>
  </si>
  <si>
    <t>Zipper pouches with press-to-close, double-lock and child-resistant closures—the most cost-effective resealable pouch. Talk to C-P Flexible Packaging.</t>
  </si>
  <si>
    <t>Audited 2026-07-27. Title/meta + 1 image alt + Service JSON-LD ready. Cost-effective resealable hook. Powder-Zip mark.</t>
  </si>
  <si>
    <t>C-P Lakeville, MN Location | C-P Flexible Packaging</t>
  </si>
  <si>
    <t>https://gcpflexpack-24024882.hs-sites.com/locations/lakeville-minnesota/</t>
  </si>
  <si>
    <t>Location</t>
  </si>
  <si>
    <t>Audited 2026-07-28. NEW page (location). Title/meta + 1 image alt + LocalBusiness JSON-LD ready. H1 weak (C-P Lakeville). Keep NAP consistent w/ Google Business Profile.</t>
  </si>
  <si>
    <t>Lakeville, MN Flexible Packaging Plant | C-P Flexible Packaging</t>
  </si>
  <si>
    <t>Visit C-P Flexible Packaging's Lakeville, MN plant-custom flexible packaging, lidding, rollstock &amp; pouches. 8235 220th St W. Call (800) 328-4556.</t>
  </si>
  <si>
    <t>C-P York, PA Location | C-P Flexible Packaging</t>
  </si>
  <si>
    <t>https://gcpflexpack-24024882.hs-sites.com/locations/c-p-york/</t>
  </si>
  <si>
    <t>Audited 2026-07-28. NEW page (location). Title/meta + 1 image alt + LocalBusiness JSON-LD ready. H1 weak (C-P York). Image 1headquarters.webp has NO alt text-creative to add. Keep NAP consistent w/ Google Business Profile.</t>
  </si>
  <si>
    <t>York, PA Flexible Packaging Plant | C-P Flexible Packaging</t>
  </si>
  <si>
    <t>C-P Flexible Packaging's York, PA facilities-240,000 sq ft of SQF-certified space for HD flexo printing, pouches &amp; lamination. Call (800) 815-0667.</t>
  </si>
  <si>
    <t>Preferred Packaging (Norcross, GA) | C-P Flexible Packaging</t>
  </si>
  <si>
    <t>https://gcpflexpack-24024882.hs-sites.com/locations/preferred-packaging/</t>
  </si>
  <si>
    <t>Audited 2026-07-28. NEW page (location, sub-brand). Title/meta + 1 image alt + LocalBusiness JSON-LD ready. H1 generic (Preferred Packaging)-tie to parent. Keep NAP consistent w/ Google Business Profile.</t>
  </si>
  <si>
    <t>Preferred Packaging - Norcross, GA | C-P Flexible Packaging</t>
  </si>
  <si>
    <t>Preferred Packaging, a C-P Flexible Packaging company in Norcross, GA-custom flexible packaging serving the Atlanta metro. Call (770) 416-0088.</t>
  </si>
  <si>
    <t>C-P Buffalo, NY Location | C-P Flexible Packaging</t>
  </si>
  <si>
    <t>https://gcpflexpack-24024882.hs-sites.com/locations/c-p-buffalo/</t>
  </si>
  <si>
    <t>Audited 2026-07-30. NEW page (location). Title/meta + 1 image alt + LocalBusiness JSON-LD ready. H1 weak (C-P Buffalo). Alt filename-style. Keep NAP consistent w/ Google Business Profile.</t>
  </si>
  <si>
    <t>Buffalo, NY Flexible Packaging Plant | C-P Flexible Packaging</t>
  </si>
  <si>
    <t>C-P Flexible Packaging's Buffalo, NY plant-AIB-certified 10-color HD flexo printing, lamination, pouches &amp; cold-seal. Call (716) 825-7710.</t>
  </si>
  <si>
    <t>C-P Aurora, ON Location (Canada) | C-P Flexible Packaging</t>
  </si>
  <si>
    <t>https://gcpflexpack-24024882.hs-sites.com/locations/aurora-ontario-canada/</t>
  </si>
  <si>
    <t>Audited 2026-07-30. NEW page (location, CANADA). LocalBusiness JSON-LD w/ addressCountry=CA. H1 weak (C-P Aurora). Only Canadian plant-own Google Business Profile (CA).</t>
  </si>
  <si>
    <t>Aurora, ON Flexible Packaging Plant | C-P Flexible Packaging</t>
  </si>
  <si>
    <t>C-P Flexible Packaging's Aurora, Ontario plant-custom printed flexible packaging, rollstock &amp; pouches for Canadian brands. Call (800) 565-3407.</t>
  </si>
  <si>
    <t>C-P Bristol, PA Location | C-P Flexible Packaging</t>
  </si>
  <si>
    <t>https://gcpflexpack-24024882.hs-sites.com/locations/c-p-bristol/</t>
  </si>
  <si>
    <t>Audited 2026-07-30. NEW page (location). LocalBusiness JSON-LD ready. H1 weak (C-P Bristol). Image c-p-bristol.webp has NO alt text-creative to add. Keep NAP consistent.</t>
  </si>
  <si>
    <t>Bristol, PA Flexible Packaging Plant | C-P Flexible Packaging</t>
  </si>
  <si>
    <t>C-P Flexible Packaging's Bristol, PA plant-125,000 sq ft of SQF-certified platemaking, printing, converting &amp; finishing. Call (215) 860-7676.</t>
  </si>
  <si>
    <t>C-P Fond du Lac, WI Location | C-P Flexible Packaging</t>
  </si>
  <si>
    <t>https://gcpflexpack-24024882.hs-sites.com/locations/fond-du-lac-wisconsin/</t>
  </si>
  <si>
    <t>Audited 2026-07-30. NEW page (location). LocalBusiness JSON-LD ready. H1 weak (C-P Fond du Lac). Alt filename-style. Keep NAP consistent w/ Google Business Profile.</t>
  </si>
  <si>
    <t>Fond du Lac, WI Flexible Packaging Plant | C-P Flexible Packaging</t>
  </si>
  <si>
    <t>C-P Flexible Packaging's Fond du Lac, WI plant-10-color flexo printing, laminating, custom slitting &amp; prepress. Call (920) 922-8212.</t>
  </si>
  <si>
    <t>Fruth Custom Packaging (Placentia, CA) | C-P Flexible Packaging</t>
  </si>
  <si>
    <t>https://gcpflexpack-24024882.hs-sites.com/locations/placentia-california/</t>
  </si>
  <si>
    <t>Audited 2026-07-30. NEW page (location, sub-brand Fruth). LocalBusiness JSON-LD w/ parentOrganization. H1 generic. Image fruth-building.webp NO alt text-creative to add.</t>
  </si>
  <si>
    <t>Fruth Custom Packaging - Placentia, CA | C-P Flexible Packaging</t>
  </si>
  <si>
    <t>Fruth Custom Packaging, a C-P Flexible Packaging company in Placentia, CA-blown film, flexo printing &amp; specialty bags. Call (714) 993-9955.</t>
  </si>
  <si>
    <t>SEO Research</t>
  </si>
  <si>
    <t>AISEO / SEO</t>
  </si>
  <si>
    <t>Schema Development</t>
  </si>
  <si>
    <t>SEO Content Creation</t>
  </si>
  <si>
    <t>SEO Content Addition</t>
  </si>
  <si>
    <t>Web Pages Copy</t>
  </si>
  <si>
    <t>Web Updates</t>
  </si>
  <si>
    <t>SEO Tracking / HubSpot</t>
  </si>
  <si>
    <t>Web Graphics Refresh</t>
  </si>
  <si>
    <t>X</t>
  </si>
  <si>
    <t>Extrusion &amp; Adhesive Lamination | C-P Flexible Packaging</t>
  </si>
  <si>
    <t>https://gcpflexpack-24024882.hs-sites.com/capabilities/extrusion-adhesive-lamination/</t>
  </si>
  <si>
    <t>Audited 2026-08-14. NEW page (capability). Title/meta + Service JSON-LD ready. Completes capabilities set 5/5. H1 already strong-no change. Image technology-coex-lamination.webp has NO alt text-creative to add.</t>
  </si>
  <si>
    <t>C-P Flexible Packaging engineers multilayer films with extrusion &amp; adhesive lamination-custom barrier, puncture resistance &amp; downgauging. Learn more.</t>
  </si>
  <si>
    <t>Premade Pouches (Category Index) | C-P Flexible Packaging</t>
  </si>
  <si>
    <t>https://gcpflexpack-24024882.hs-sites.com/products/premade-pouches/</t>
  </si>
  <si>
    <t>Category</t>
  </si>
  <si>
    <t>Audited 2026-08-14. NEW page (category index). CollectionPage JSON-LD (ItemList of 11 pouch pages). CRITICAL: on-page H1 wrongly reads 'Printed rollstock'-must change to 'Premade Pouches'. No content images.</t>
  </si>
  <si>
    <t>Premade Pouches | Stand-Up, Zipper &amp; Spouted | C-P Flexible Packaging</t>
  </si>
  <si>
    <t>Explore C-P Flexible Packaging's premade pouches-stand-up, zipper, slider, spouted, flat-bottom &amp; more, in recyclable &amp; compostable options.</t>
  </si>
  <si>
    <t>Printed Rollstock (Category Index) | C-P Flexible Packaging</t>
  </si>
  <si>
    <t>https://gcpflexpack-24024882.hs-sites.com/products/printed-rollstock/</t>
  </si>
  <si>
    <t>Audited 2026-08-14. NEW page (category index). CollectionPage JSON-LD (ItemList of 14 rollstock pages). H1 'Printed rollstock' correct but lowercase-title-case it. No content images.</t>
  </si>
  <si>
    <t>Printed Rollstock | Lidding, Barrier &amp; More | C-P Flexible Packaging</t>
  </si>
  <si>
    <t>Explore C-P Flexible Packaging's printed rollstock films-high-barrier, lidding, peel-reseal, shrink bands &amp; recyclable options for form-fill-seal lines.</t>
  </si>
  <si>
    <t>Home (Homepage) | C-P Flexible Packaging</t>
  </si>
  <si>
    <t>https://gcpflexpack-24024882.hs-sites.com/</t>
  </si>
  <si>
    <t>Home</t>
  </si>
  <si>
    <t>Audited 2026-08-14. NEW page (homepage). Title/meta + ORGANIZATION JSON-LD (name, logo, founding 1958, HQ, phone, LinkedIn)-most important schema on site. 10 content images need alt (verify current). H1 tagline OK. Update logo URL in schema before publish.</t>
  </si>
  <si>
    <t>Custom Flexible Packaging &amp; Printing | C-P Flexible Packaging</t>
  </si>
  <si>
    <t>C-P Flexible Packaging delivers custom printed rollstock, pouches, labels &amp; sustainable packaging-60 years of HD flexo expertise. Explore our range.</t>
  </si>
  <si>
    <t>About Us | C-P Flexible Packaging</t>
  </si>
  <si>
    <t>https://gcpflexpack-24024882.hs-sites.com/about-us</t>
  </si>
  <si>
    <t>Corporate</t>
  </si>
  <si>
    <t>Audited 2026-08-14. NEW page (about/E-E-A-T). Title/meta + AboutPage JSON-LD (org, founding 1958). H1 strong-no change. Image about-image.webp alt filename-style-replace.</t>
  </si>
  <si>
    <t>About C-P Flexible Packaging | 60+ Years of Expertise</t>
  </si>
  <si>
    <t>Since 1958, C-P Flexible Packaging has grown into a top-25 U.S. converter-800,000+ sq ft of SQF-certified space across nine facilities. Our story.</t>
  </si>
  <si>
    <t>Contact Us | C-P Flexible Packaging</t>
  </si>
  <si>
    <t>https://gcpflexpack-24024882.hs-sites.com/contact/</t>
  </si>
  <si>
    <t>Contact</t>
  </si>
  <si>
    <t>Contact C-P Flexible Packaging | 9 Plant Locations</t>
  </si>
  <si>
    <t>Contact C-P Flexible Packaging-9 manufacturing locations across the US &amp; Canada. Call (800) 815-0667 or message our packaging experts online.</t>
  </si>
  <si>
    <t>Audited 2026-08-14. NEW page (contact). Title/meta + ContactPage JSON-LD. H1 'Contact us' generic-change to 'Contact C-P Flexible Packaging'. NAP: abbreviations standardized 8/14 (York/Buffalo/Fond du Lac/Fruth/Aurora spelled out to match schema)-now consistent w/ location pages. STILL TO DO: verify all 9 vs Google Business Profiles (GBP is master).</t>
  </si>
  <si>
    <t>Premade Pouches Glossary | C-P Flexible Packaging</t>
  </si>
  <si>
    <t>https://gcpflexpack-24024882.hs-sites.com/glossary/pouch/</t>
  </si>
  <si>
    <t>Glossary</t>
  </si>
  <si>
    <t>Audited 2026-08-14. NEW page (glossary). Title/meta + DefinedTermSet JSON-LD (~40 terms). H1 lowercase-title-case it. No content images. Cross-link entries to product pages.</t>
  </si>
  <si>
    <t>A-Z glossary of premade pouch terms from C-P Flexible Packaging-pouch types, seals, zippers, laser scoring &amp; testing. Learn the terminology.</t>
  </si>
  <si>
    <t>Flexible Packaging Films Glossary | C-P Flexible Packaging</t>
  </si>
  <si>
    <t>https://gcpflexpack-24024882.hs-sites.com/glossary/film/</t>
  </si>
  <si>
    <t>Audited 2026-08-14. NEW page (glossary). Title/meta + DefinedTermSet JSON-LD. Current title had no brand + lowercase-use branded/title-cased. H1 lowercase-title-case. No content images.</t>
  </si>
  <si>
    <t>A-Z glossary of flexible packaging film terms from C-P Flexible Packaging-film types, lamination, HFFS/VFFS, gauge &amp; seal bond. Learn the terms.</t>
  </si>
  <si>
    <t>Flexible Packaging Calculator | C-P Flexible Packaging</t>
  </si>
  <si>
    <t>https://gcpflexpack-24024882.hs-sites.com/flexible-packaging-calculator/</t>
  </si>
  <si>
    <t>Tool</t>
  </si>
  <si>
    <t>Audited 2026-08-14. NEW page (tool). Title/meta + WebApplication JSON-LD (free BusinessApplication). H1 lowercase-title-case. Strong linkable asset-promote from product pages.</t>
  </si>
  <si>
    <t>Free flexible packaging calculator from C-P Flexible Packaging-convert MSI, basis weight, yield, microns to mils &amp; more. Try the tool.</t>
  </si>
  <si>
    <t>Careers | C-P Flexible Packaging</t>
  </si>
  <si>
    <t>https://gcpflexpack-24024882.hs-sites.com/careers</t>
  </si>
  <si>
    <t>Careers</t>
  </si>
  <si>
    <t>Careers at C-P Flexible Packaging | Join Our Team</t>
  </si>
  <si>
    <t>Build your career at C-P Flexible Packaging-9 U.S. &amp; Canada locations, medical/dental/401(k) match &amp; a family-first culture. View openings.</t>
  </si>
  <si>
    <t>Audited 2026-08-14. Careers page. Title/meta + all image alts (3 content + 9 facility Flexi Cards) implemented &amp; billed 8/14. NO page schema (add JobPosting per role only). Facility cards had filename-style alts (c-p-york-300x172 etc.)-recommended alts captured in audit doc.</t>
  </si>
  <si>
    <t>News: CFB Grand Opening - Solar-Powered Cleanroom Facility</t>
  </si>
  <si>
    <t>https://gcpflexpack-24024882.hs-sites.com/news/cleanroom-film-bags-announces-grand-opening-of-new-solar-powered-cleanroom-packaging-facility</t>
  </si>
  <si>
    <t>News</t>
  </si>
  <si>
    <t>QUEUED 2026-08-17 - blog/news content (HubSpot Blog tool). NOT yet audited. Needs title/meta/Article schema/internal links.</t>
  </si>
  <si>
    <t>queued</t>
  </si>
  <si>
    <t>News: Acquisition of Genpak Flexible</t>
  </si>
  <si>
    <t>https://gcpflexpack-24024882.hs-sites.com/news/c-p-flexible-packaging-announces-acquisition-of-genpak-flexible</t>
  </si>
  <si>
    <t>News: IntelliGraphix Systems</t>
  </si>
  <si>
    <t>https://gcpflexpack-24024882.hs-sites.com/news/c-p-flexible-packaging-announces-intelligraphix-systems</t>
  </si>
  <si>
    <t>News: Top BRCGS AA Rating for Food Packaging</t>
  </si>
  <si>
    <t>https://gcpflexpack-24024882.hs-sites.com/news/c-p-flexible-packaging-earns-top-brcgs-rating-aa-for-food-packaging-quality-and-safety</t>
  </si>
  <si>
    <t>News: Lidding Films at IDDBA 2023</t>
  </si>
  <si>
    <t>https://gcpflexpack-24024882.hs-sites.com/news/c-p-flexible-packaging-showcases-proprietary-lidding-films-for-high-pressure-pasteurization-at-iddba-2023</t>
  </si>
  <si>
    <t>News: Virtual Press-Check Capabilities</t>
  </si>
  <si>
    <t>https://gcpflexpack-24024882.hs-sites.com/news/introducing-virtual-press-check-capabilities-for-customers-in-critical-infrastructure-industries</t>
  </si>
  <si>
    <t>News: Acquires Preferred Packaging (GA)</t>
  </si>
  <si>
    <t>https://gcpflexpack-24024882.hs-sites.com/news/c-p-flexible-packaging-acquires-preferred-packaging-in-georgia</t>
  </si>
  <si>
    <t>News: 2024 MD&amp;M Show</t>
  </si>
  <si>
    <t>https://gcpflexpack-24024882.hs-sites.com/news/2024-mdm-show-c-p-flexible-packaging/</t>
  </si>
  <si>
    <t>News: New Poly-Bag Manufacturing Investment</t>
  </si>
  <si>
    <t>https://gcpflexpack-24024882.hs-sites.com/news/c-p-flexible-packaging-invests-in-new-poly-bag-manufacturing-capabilities</t>
  </si>
  <si>
    <t>News: Dave Klopp Joins as VP of Sales</t>
  </si>
  <si>
    <t>https://gcpflexpack-24024882.hs-sites.com/news/c-p-flexible-packaging-welcomes-dave-klopp-as-vice-president-of-sales</t>
  </si>
  <si>
    <t>Learning Center: Vetting Cold-Seal Suppliers</t>
  </si>
  <si>
    <t>https://gcpflexpack-24024882.hs-sites.com/learning-center/vetting-potential-cold-seal-packaging-suppliers</t>
  </si>
  <si>
    <t>Learning Center</t>
  </si>
  <si>
    <t>Learning Center: Shrink Bands</t>
  </si>
  <si>
    <t>https://gcpflexpack-24024882.hs-sites.com/learning-center/shrink-bands</t>
  </si>
  <si>
    <t>Learning Center: Recyclable Stand-Up Pouches</t>
  </si>
  <si>
    <t>https://gcpflexpack-24024882.hs-sites.com/learning-center/commercially-viable-recyclable-stand-up-pouches</t>
  </si>
  <si>
    <t>Learning Center: What Is Cold-Seal Packaging</t>
  </si>
  <si>
    <t>https://gcpflexpack-24024882.hs-sites.com/learning-center/what-is-cold-seal-packaging</t>
  </si>
  <si>
    <t>Learning Center (index)</t>
  </si>
  <si>
    <t>https://gcpflexpack-24024882.hs-sites.com/learning-center</t>
  </si>
  <si>
    <t>Blog Index</t>
  </si>
  <si>
    <t>Blog listing/index page. Optimize lightly (title/meta) or leave to HubSpot template.</t>
  </si>
  <si>
    <t>System: /learning-center/author/admin</t>
  </si>
  <si>
    <t>https://gcpflexpack-24024882.hs-sites.com/learning-center/author/admin</t>
  </si>
  <si>
    <t>System (blog)</t>
  </si>
  <si>
    <t>HubSpot blog system page (author). Recommend NOINDEX rather than optimize - inflates page count.</t>
  </si>
  <si>
    <t>noindex?</t>
  </si>
  <si>
    <t>Learning Center: benefits of cold seal packaging</t>
  </si>
  <si>
    <t>https://gcpflexpack-24024882.hs-sites.com/learning-center/benefits-of-cold-seal-packaging</t>
  </si>
  <si>
    <t>QUEUED - blog/news content (HubSpot Blog tool). NOT yet audited. Needs title/meta/Article schema/internal links.</t>
  </si>
  <si>
    <t>Learning Center: fixing flexible packaging performance print quality issues</t>
  </si>
  <si>
    <t>https://gcpflexpack-24024882.hs-sites.com/learning-center/fixing-flexible-packaging-performance-print-quality-issues</t>
  </si>
  <si>
    <t>Learning Center: how an artisan meats company improved their productivity and branding with die cut rollstock</t>
  </si>
  <si>
    <t>https://gcpflexpack-24024882.hs-sites.com/learning-center/how-an-artisan-meats-company-improved-their-productivity-and-branding-with-die-cut-rollstock</t>
  </si>
  <si>
    <t>Learning Center: how to cut flexible packaging costs eliminate delivery issues</t>
  </si>
  <si>
    <t>https://gcpflexpack-24024882.hs-sites.com/learning-center/how-to-cut-flexible-packaging-costs-eliminate-delivery-issues</t>
  </si>
  <si>
    <t>Learning Center: redesigning flexible packaging sustainability shelf appeal</t>
  </si>
  <si>
    <t>https://gcpflexpack-24024882.hs-sites.com/learning-center/redesigning-flexible-packaging-sustainability-shelf-appeal</t>
  </si>
  <si>
    <t>Learning Center: short run cold seal packaging for co packers</t>
  </si>
  <si>
    <t>https://gcpflexpack-24024882.hs-sites.com/learning-center/short-run-cold-seal-packaging-for-co-packers</t>
  </si>
  <si>
    <t>Learning Center: sustainable wipes packaging 101</t>
  </si>
  <si>
    <t>https://gcpflexpack-24024882.hs-sites.com/learning-center/sustainable-wipes-packaging-101</t>
  </si>
  <si>
    <t>Learning Center: the benefits of reclose technology</t>
  </si>
  <si>
    <t>https://gcpflexpack-24024882.hs-sites.com/learning-center/the-benefits-of-reclose-technology</t>
  </si>
  <si>
    <t>Cleanroom Film &amp; Bags (Placentia) - EXCLUDED</t>
  </si>
  <si>
    <t>https://gcpflexpack-24024882.hs-sites.com/locations/orange-california</t>
  </si>
  <si>
    <t>Location (Cleanroom)</t>
  </si>
  <si>
    <t>Cleanroom Film &amp; Bags - previously EXCLUDED from C-P scope ('no cleanroom'). Tool audits it; confirm if it should be optimized.</t>
  </si>
  <si>
    <t>excluded</t>
  </si>
  <si>
    <t>News (blog index)</t>
  </si>
  <si>
    <t>https://gcpflexpack-24024882.hs-sites.com/news</t>
  </si>
  <si>
    <t>System: /news/author/admin</t>
  </si>
  <si>
    <t>https://gcpflexpack-24024882.hs-sites.com/news/author/admin</t>
  </si>
  <si>
    <t>News: cleanroom film bags adds capacity to serve increasing demand for cleanroom nylon films and bags</t>
  </si>
  <si>
    <t>https://gcpflexpack-24024882.hs-sites.com/news/cleanroom-film-bags-adds-capacity-to-serve-increasing-demand-for-cleanroom-nylon-films-and-bags</t>
  </si>
  <si>
    <t>News: cleanroom film bags expands offering of customized sterilizable packaging</t>
  </si>
  <si>
    <t>https://gcpflexpack-24024882.hs-sites.com/news/cleanroom-film-bags-expands-offering-of-customized-sterilizable-packaging</t>
  </si>
  <si>
    <t>News: c p expands medical packaging capabilities through fruth division to meet rising demand for biohazard autoclave bags</t>
  </si>
  <si>
    <t>https://gcpflexpack-24024882.hs-sites.com/news/c-p-expands-medical-packaging-capabilities-through-fruth-division-to-meet-rising-demand-for-biohazard-autoclave-bags</t>
  </si>
  <si>
    <t>News: c p flexible packaging acquires fruth custom packaging inc and cleanroom film and bag inc</t>
  </si>
  <si>
    <t>https://gcpflexpack-24024882.hs-sites.com/news/c-p-flexible-packaging-acquires-fruth-custom-packaging-inc-and-cleanroom-film-and-bag-inc</t>
  </si>
  <si>
    <t>News: c p flexible packaging announces acquisition of bass flexible packaging inc</t>
  </si>
  <si>
    <t>https://gcpflexpack-24024882.hs-sites.com/news/c-p-flexible-packaging-announces-acquisition-of-bass-flexible-packaging-inc</t>
  </si>
  <si>
    <t>News: c p flexible packaging announces acquisition of prestige pak inc</t>
  </si>
  <si>
    <t>https://gcpflexpack-24024882.hs-sites.com/news/c-p-flexible-packaging-announces-acquisition-of-prestige-pak-inc</t>
  </si>
  <si>
    <t>News: c p flexible packaging announces commitment to convert 50 of companys u s plants to solar power by 2025</t>
  </si>
  <si>
    <t>https://gcpflexpack-24024882.hs-sites.com/news/c-p-flexible-packaging-announces-commitment-to-convert-50-of-companys-u-s-plants-to-solar-power-by-2025</t>
  </si>
  <si>
    <t>News: c p flexible packaging awarded highest achievable brcgs ratings for product quality and safety</t>
  </si>
  <si>
    <t>https://gcpflexpack-24024882.hs-sites.com/news/c-p-flexible-packaging-awarded-highest-achievable-brcgs-ratings-for-product-quality-and-safety</t>
  </si>
  <si>
    <t>News: c p flexible packaging enables rapid development of voortmans resealable cookie packaging</t>
  </si>
  <si>
    <t>https://gcpflexpack-24024882.hs-sites.com/news/c-p-flexible-packaging-enables-rapid-development-of-voortmans-resealable-cookie-packaging</t>
  </si>
  <si>
    <t>News: c p flexible packaging launches new website</t>
  </si>
  <si>
    <t>https://gcpflexpack-24024882.hs-sites.com/news/c-p-flexible-packaging-launches-new-website</t>
  </si>
  <si>
    <t>News: c p flexible packaging teams up with hr pharmaceuticals to donate hand sanitizer in record time</t>
  </si>
  <si>
    <t>https://gcpflexpack-24024882.hs-sites.com/news/c-p-flexible-packaging-teams-up-with-hr-pharmaceuticals-to-donate-hand-sanitizer-in-record-time</t>
  </si>
  <si>
    <t>News: high performance packaging for extended shelf life refrigerated meals</t>
  </si>
  <si>
    <t>https://gcpflexpack-24024882.hs-sites.com/news/high-performance-packaging-for-extended-shelf-life-refrigerated-meals</t>
  </si>
  <si>
    <t>News: introducing c p greenstream portfolio of sustainable packaging solutions</t>
  </si>
  <si>
    <t>https://gcpflexpack-24024882.hs-sites.com/news/introducing-c-p-greenstream-portfolio-of-sustainable-packaging-solutions</t>
  </si>
  <si>
    <t>News: preferred packaging a division of c p flexible packaging launches new sustainable greenstream pulp trays</t>
  </si>
  <si>
    <t>https://gcpflexpack-24024882.hs-sites.com/news/preferred-packaging-a-division-of-c-p-flexible-packaging-launches-new-sustainable-greenstream-pulp-trays</t>
  </si>
  <si>
    <t>News: preferred packaging launches greenstream fiber trays a new standard in sustainable meal packaging</t>
  </si>
  <si>
    <t>https://gcpflexpack-24024882.hs-sites.com/news/preferred-packaging-launches-greenstream-fiber-trays-a-new-standard-in-sustainable-meal-packaging</t>
  </si>
  <si>
    <t>Review: redesigning flexible packaging sustainability shelf appeal</t>
  </si>
  <si>
    <t>https://gcpflexpack-24024882.hs-sites.com/redesigning-flexible-packaging-sustainability-shelf-appeal</t>
  </si>
  <si>
    <t>Page (review)</t>
  </si>
  <si>
    <t>Possible DUPLICATE of a /learning-center/ article (bare URL). Verify - may need canonical/redirect.</t>
  </si>
  <si>
    <t>review-dup?</t>
  </si>
  <si>
    <t>AUDITED 2026-08-17 (blog). BlogPosting schema (pub 2019-10-16). Title good. Cold-seal CLUSTER-internal-link to /products/cold-seal-packaging + cold-seal guide.</t>
  </si>
  <si>
    <t>What Is Cold-Seal Packaging? | C-P Flexible Packaging</t>
  </si>
  <si>
    <t>Cold-seal packaging uses pressure-activated adhesive to seal up to 10x faster than heat-seal-ideal for heat-sensitive bars, chocolate &amp; candy.</t>
  </si>
  <si>
    <t>AUDITED 2026-08-17 (blog). BlogPosting schema (pub 2019-10-16). Cold-seal CLUSTER-link to /products/cold-seal-packaging.</t>
  </si>
  <si>
    <t>3 Benefits of Cold-Seal Packaging | C-P Flexible Packaging</t>
  </si>
  <si>
    <t>3 advantages of cold-seal packaging: no heat, up to 10x faster speeds, and it runs on your existing heat-seal equipment. See why it fits your line.</t>
  </si>
  <si>
    <t>AUDITED 2026-08-17 (blog, ~2100 words-strong). BlogPosting schema (pub 2020-05-05). Cold-seal CLUSTER hub-link to cold-seal product + other cluster articles.</t>
  </si>
  <si>
    <t>How to Choose a Cold-Seal Supplier | C-P Flexible Packaging</t>
  </si>
  <si>
    <t>How co-packers should vet a cold-seal packaging supplier: 4 criteria-customization, scheduling, quality control &amp; technical support.</t>
  </si>
  <si>
    <t>AUDITED 2026-08-17 (blog, ~1800 words). BlogPosting schema (pub 2020-05-04). Cold-seal CLUSTER-link to /products/cold-seal-packaging.</t>
  </si>
  <si>
    <t>Short-Run Cold-Seal Packaging for Co-Packers | C-P Flexible</t>
  </si>
  <si>
    <t>Short-run cold-seal packaging for co-packers-up to 10x faster speeds and lower costs without long runs. See how C-P makes it accessible.</t>
  </si>
  <si>
    <t>AUDITED 2026-08-17 (blog, ~1800 words). BlogPosting schema (pub 2020-12-22). Current title TOO LONG (78) + no brand-use recommended. Link to /products/premade-pouches/recyclable-pouches.</t>
  </si>
  <si>
    <t>Commercializing Recyclable Stand-Up Pouches | C-P Flexible Packaging</t>
  </si>
  <si>
    <t>How CPG brands commercialize recyclable mono-material PE stand-up pouches-design, equipment fit &amp; FTC compliance. A practical roadmap from C-P.</t>
  </si>
  <si>
    <t>AUDITED 2026-08-17 (blog, ~450 words-lightest). BlogPosting schema (pub 2020-05-06). Title uses ' - ' + lowercase-fix. Link to /products/printed-rollstock/peel-reseal-rollstock.</t>
  </si>
  <si>
    <t>Peel &amp; Reseal (Reclose) Packaging Benefits | C-P Flexible Packaging</t>
  </si>
  <si>
    <t>Why reclose (peel &amp; reseal) packaging wins-81% of impulse buyers value resealability. Extend shelf life &amp; keep branding with pressure-sensitive labels.</t>
  </si>
  <si>
    <t>AUDITED 2026-08-19 (blog, ~850w, pub 2023). BlogPosting schema. Title was 79-char H1 no brand-replace. 4 images (2 need alt). Link to /products/printed-rollstock/shrink-bands.</t>
  </si>
  <si>
    <t>Why Shrink Bands Deliver Tamper Evidence | C-P Flexible Packaging</t>
  </si>
  <si>
    <t>5 reasons shrink bands are the go-to for tamper-evident packaging-affordable, versatile &amp; secure across bottles, jars &amp; more. See why.</t>
  </si>
  <si>
    <t>AUDITED 2026-08-19 (blog, ~1100w). BlogPosting schema. Title was 86-char H1 no brand-replace. 2 .jpg images (convert to WebP). Links to HD flexo + design capabilities.</t>
  </si>
  <si>
    <t>Fix Flexible Packaging Performance &amp; Print Issues | C-P Flexible</t>
  </si>
  <si>
    <t>How to diagnose and fix flexible packaging performance and print-quality issues with your converter-troubleshooting tips from C-P's technical team.</t>
  </si>
  <si>
    <t>Die-Cut Rollstock Meat Packaging Case Study | C-P Flexible</t>
  </si>
  <si>
    <t>How an artisan meats company boosted productivity and branding by switching to laser die-cut rollstock for flow-wrapping. A C-P case study.</t>
  </si>
  <si>
    <t>AUDITED 2026-08-19 (blog, ~1100w). BlogPosting schema. Title was 64-char H1 no brand-add brand. 2 images (alt OK, minor). Links to finishing + about-us.</t>
  </si>
  <si>
    <t>Cut Flexible Packaging Costs &amp; Delivery Issues | C-P Flexible</t>
  </si>
  <si>
    <t>How to cut flexible packaging costs and eliminate delivery issues-choose a supplier with the right supply-chain strategy. Tips from C-P.</t>
  </si>
  <si>
    <t>Redesign Flexible Packaging for Sustainability | C-P Flexible</t>
  </si>
  <si>
    <t>How to redesign flexible packaging for sustainability and stronger shelf appeal-work with your supplier to hit both goals. A guide from C-P.</t>
  </si>
  <si>
    <t>AUDITED 2026-08-19 (blog, ~1100w). BlogPosting schema. Title fix ' - ' to ' | '. 3 images (alt OK, minor). Links to sustainable-packaging + greenstream.</t>
  </si>
  <si>
    <t>Sustainable Wipes Packaging 101 | C-P Flexible Packaging</t>
  </si>
  <si>
    <t>Sustainable wipes packaging 101: recyclable, compostable &amp; PCR options for wipes brands. Explore eco-friendly solutions from C-P Flexible Packaging.</t>
  </si>
  <si>
    <t>AUDITED 2026-08-19 (blog CASE STUDY). BlogPosting schema. NEW TITLE/H1: 'How Die-Cut Rollstock Boosted an Artisan Meat Brand''s Productivity' (was 91ch). NEW SLUG: die-cut-rollstock-meat-case-study (was ~90ch)-change NOW pre-launch, no 301. 5 images ALL need alt. Link to laser-die-cut-window-rollstock.</t>
  </si>
  <si>
    <t>AUDITED 2026-08-19 (blog, ~850w). BlogPosting schema. 1 image needs alt. DUP: bare-path copy exists (no /learning-center/)-canonical/301. Links to sustainable-packaging + design.  [OPEN: duplicate bare-path URL /redesigning-... is LIVE (200) - find in Website/Landing Pages, delete + 301 to this learning-center URL. Not part of this bill.]</t>
  </si>
  <si>
    <t>AUDITED 2026-08-19 (news, ~350w, pub 2020). BlogPosting schema. Title was ~97ch-replace. 2 images need alt. Links to greenstream-products.</t>
  </si>
  <si>
    <t>C-P GreenStream Sustainable Packaging Portfolio | C-P Flexible</t>
  </si>
  <si>
    <t>C-P Flexible Packaging launches GreenStream-PCR, compostable &amp; single-source recyclable films accepted at 18,000+ U.S. retail drop-off sites.</t>
  </si>
  <si>
    <t>AUDITED 2026-08-19 (news CASE, ~250w). BlogPosting schema. Title was ~113ch-replace. Image alt ~180ch-trim. Links to peel-reseal + cookies market.</t>
  </si>
  <si>
    <t>Voortman Resealable Cookie Packaging Case | C-P Flexible</t>
  </si>
  <si>
    <t>How C-P Flexible Packaging developed Voortman's resealable cookie packaging in 6 months-easy-open, easy-reseal, no capital investment.</t>
  </si>
  <si>
    <t>C-P Flexible Packaging earns the highest BRCGS ratings-AA+ (Fond du Lac) and AA (Lakeville)-for food-safety and packaging quality.</t>
  </si>
  <si>
    <t>AUDITED 2026-08-19 (news, ~350w). BlogPosting schema. Title was ~97ch-replace. 3 images (1 needs alt). Links to poly-bags + Buffalo location.</t>
  </si>
  <si>
    <t>New Poly Bag Manufacturing at C-P Buffalo | C-P Flexible</t>
  </si>
  <si>
    <t>C-P Flexible Packaging expands poly bag manufacturing in Buffalo with 3 new Hudson-Sharp lines for food, healthcare &amp; industrial demand.</t>
  </si>
  <si>
    <t>AUDITED 2026-08-19 (news, ~650w). BlogPosting schema. Title AND H1 extremely long (~155-180ch)-shorten both. No images. Links to lidding + high-barrier.</t>
  </si>
  <si>
    <t>High-Performance Lidding for Refrigerated Meals | C-P Flexible</t>
  </si>
  <si>
    <t>C-P's Preferred Packaging + Northwest Frozen launched Affirm lidding film for extended shelf-life refrigerated meals-incl. Oprah's Favorite Things 2022.</t>
  </si>
  <si>
    <t>AUDITED 2026-08-19 (news EVENT, ~280w). BlogPosting schema. Title was ~130ch-replace. 3 images (alt OK, minor). Dated event-light value. Links to lidding + greenstream.</t>
  </si>
  <si>
    <t>HPP Lidding Films at IDDBA 2023 | C-P Flexible Packaging</t>
  </si>
  <si>
    <t>C-P Flexible Packaging showcased proprietary high-pressure pasteurization (HPP) lidding films at IDDBA 2023 for fresh, minimally-processed foods.</t>
  </si>
  <si>
    <t>C-P Earns Top BRCGS AA+ Rating 2025 | C-P Flexible</t>
  </si>
  <si>
    <t>C-P Flexible Packaging earns the top BRCGS rating (AA+) in a 2025 unannounced audit-affirming its food-safety and packaging quality.</t>
  </si>
  <si>
    <t>AUDITED 2026-08-19 (news acquisition, ~420w). BlogPosting schema. Title was ~87ch-replace. No images. Links to Preferred location + Our Companies + thermoformed.</t>
  </si>
  <si>
    <t>C-P Acquires Preferred Packaging (Georgia) | C-P Flexible</t>
  </si>
  <si>
    <t>C-P Flexible Packaging acquires Preferred Packaging in Georgia-expanding refrigerated &amp; frozen meal packaging with thermoformed solutions.</t>
  </si>
  <si>
    <t>AUDITED 2026-08-19 (news acquisition, ~650w). BlogPosting schema. Title was ~116ch-replace. Mentions Cleanroom (legit here). Links to Fruth location + medical market.</t>
  </si>
  <si>
    <t>C-P Acquires Fruth &amp; Cleanroom Film and Bag | C-P Flexible</t>
  </si>
  <si>
    <t>C-P Flexible Packaging acquires Fruth Custom Packaging &amp; Cleanroom Film and Bag-expanding West Coast medical, pharma &amp; electronics packaging.</t>
  </si>
  <si>
    <t>AUDITED 2026-08-19 (news, pub 2025, ~400w). BlogPosting schema. Current title already good. Links to Autoclave Bags product + Fruth location.</t>
  </si>
  <si>
    <t>Fruth Expands Autoclave &amp; Biohazard Bag Capacity | C-P</t>
  </si>
  <si>
    <t>C-P's Fruth division expands U.S.-made autoclave &amp; biohazard bag capacity-medical-grade packaging built for stringent sterilization standards.</t>
  </si>
  <si>
    <t>AUDITED 2026-08-19 (news sustainability, ~310w). BlogPosting schema. Title was ~150ch-replace. No images. Links to Solar-Powered Manufacturing.</t>
  </si>
  <si>
    <t>C-P Commits to 50% Solar-Powered U.S. Plants by 2025 | C-P</t>
  </si>
  <si>
    <t>C-P Flexible Packaging commits to converting 50% of its U.S. plants to solar power by 2025-with installations already live in California &amp; Minnesota.</t>
  </si>
  <si>
    <t>AUDITED 2026-08-19 (news, COVID-era 2020, ~250w). BlogPosting schema. Title was ~119ch-replace. 1 image (.jpg-&gt;WebP). Dated-light value. Links to HD flexo + prepress.</t>
  </si>
  <si>
    <t>Virtual Press Check Capabilities | C-P Flexible Packaging</t>
  </si>
  <si>
    <t>C-P Flexible Packaging launches virtual press-check capabilities-approve packaging graphics remotely via video, built for critical-infrastructure customers.</t>
  </si>
  <si>
    <t>C-P Earns Highest BRCGS Ratings 2024 (AA+/AA) | C-P Flexible</t>
  </si>
  <si>
    <t>AUDITED 2026-08-19 (news, 2024 BRCGS). BlogPosting schema. YEAR ADDED to title/H1 to fix cannibalization vs the 2025 BRCGS post (row 82). Cross-link the two. Links to Fond du Lac + Lakeville. Image .jpg-&gt;WebP.</t>
  </si>
  <si>
    <t>AUDITED 2026-08-19 (news, 2025 BRCGS). BlogPosting schema. Current title good; YEAR in title/H1 distinguishes from 2024 post (row 113). Cross-link the two to fix cannibalization. 1 image.</t>
  </si>
  <si>
    <t>Review</t>
  </si>
  <si>
    <t>AUDITED 2026-08-26 (news acquisition, ~520w). BlogPosting schema. Title was ~87ch-replace. 1 image. Links to Our Companies + sustainability.</t>
  </si>
  <si>
    <t>C-P Acquires Genpak Flexible | C-P Flexible Packaging</t>
  </si>
  <si>
    <t>C-P Flexible Packaging acquires Genpak Flexible from The Jim Pattison Group-expanding to 6 North American sites &amp; sustainable packaging.</t>
  </si>
  <si>
    <t>pending impl</t>
  </si>
  <si>
    <t>AUDITED 2026-08-26 (news division launch, ~450w). BlogPosting schema. Title was ~80ch-replace. 2 images (.jpg-&gt;WebP). Links to prepress + HD flexo.</t>
  </si>
  <si>
    <t>C-P Launches IntelliGraphix Systems (Prepress) | C-P Flexible</t>
  </si>
  <si>
    <t>C-P Flexible Packaging launches IntelliGraphix Systems-a prepress, platemaking &amp; color-management division for flexographic printers.</t>
  </si>
  <si>
    <t>AUDITED 2026-08-26 (news acquisition, ~420w). BlogPosting schema. Title was ~101ch-replace. No images. Links to Our Companies + confectionery/health.</t>
  </si>
  <si>
    <t>C-P Acquires Bass Flexible Packaging | C-P Flexible</t>
  </si>
  <si>
    <t>C-P Flexible Packaging acquires Bass Flexible Packaging-adding agile, short-lead-time capabilities for confectionery and health &amp; beauty.</t>
  </si>
  <si>
    <t>AUDITED 2026-08-26 (news acquisition, ~425w). BlogPosting schema. Title was ~90ch-replace. 1 image needs alt. Links to Our Companies + snack/confectionery.</t>
  </si>
  <si>
    <t>C-P Acquires Prestige-Pak (Wisconsin) | C-P Flexible</t>
  </si>
  <si>
    <t>C-P Flexible Packaging acquires Wisconsin's Prestige-Pak-a 53-year family converter of printed films for snacks, confectionery &amp; baked goods.</t>
  </si>
  <si>
    <t>AUDITED 2026-08-26 (news, ~550w, 2022 pulp trays). BlogPosting schema. Title was ~130ch-replace. NEAR-DUP of 2025 fiber-trays post-differentiate/cross-link. Links to greenstream + thermoformed.</t>
  </si>
  <si>
    <t>GreenStream Pulp Trays from Preferred Packaging | C-P Flexible</t>
  </si>
  <si>
    <t>Preferred Packaging launches GreenStream compostable plant-fiber pulp trays-an eco alternative to plastic for school-meal &amp; food packaging.</t>
  </si>
  <si>
    <t>AUDITED 2026-08-26 (news, ~220w, 2025 fiber trays). BlogPosting schema. WRONG IMAGE (poly-bag-dept-low-res.webp)-swap. NEAR-DUP of 2022 pulp-trays post. Light-expand. Links to greenstream.</t>
  </si>
  <si>
    <t>GreenStream Compostable Fiber Trays | C-P Flexible Packaging</t>
  </si>
  <si>
    <t>Preferred Packaging launches GreenStream bagasse fiber trays-compostable, curbside-recyclable, PFAS-free &amp; compatible with sustainable lidding.</t>
  </si>
  <si>
    <t>AUDITED 2026-08-26 (news, COVID-era 2020, ~1100w-substantial). BlogPosting schema. Current title decent, no brand-add it. 1 image (.jpg-&gt;WebP). Links to health market + finishing.</t>
  </si>
  <si>
    <t>Hand Sanitizer Packaging Supplied in Record Time | C-P Flexible</t>
  </si>
  <si>
    <t>How C-P Flexible Packaging &amp; HR Pharmaceuticals produced hand-sanitizer packets in record time for frontline workers during COVID-19.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</si>
</sst>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0"/>
      <color rgb="FFFFFFFF"/>
      <name val="Arial"/>
      <family val="2"/>
    </font>
    <font>
      <b/>
      <sz val="9"/>
      <color indexed="81"/>
      <name val="Tahoma"/>
      <charset val="1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15732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164" fontId="2" fillId="0" borderId="0" xfId="0" applyNumberFormat="1" applyFont="1"/>
    <xf numFmtId="0" fontId="1" fillId="0" borderId="0" xfId="1"/>
    <xf numFmtId="9" fontId="2" fillId="0" borderId="0" xfId="0" applyNumberFormat="1" applyFont="1"/>
    <xf numFmtId="14" fontId="2" fillId="0" borderId="0" xfId="0" applyNumberFormat="1" applyFont="1"/>
    <xf numFmtId="0" fontId="4" fillId="4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1">
    <dxf>
      <font>
        <b/>
        <i val="0"/>
        <color rgb="FFC00000"/>
      </font>
      <fill>
        <patternFill>
          <bgColor rgb="FFFFC000"/>
        </patternFill>
      </fill>
    </dxf>
    <dxf>
      <font>
        <b/>
        <i val="0"/>
        <color rgb="FFC00000"/>
      </font>
      <fill>
        <patternFill>
          <bgColor rgb="FFFFC000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F6A12"/>
      </font>
      <fill>
        <patternFill>
          <bgColor rgb="FFFFD8A8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cpflexpack-24024882.hs-sites.com/products/thermoformed-food-trays/" TargetMode="External"/><Relationship Id="rId21" Type="http://schemas.openxmlformats.org/officeDocument/2006/relationships/hyperlink" Target="https://app.hubspot.com/pages/24024882/editor/212851126309" TargetMode="External"/><Relationship Id="rId42" Type="http://schemas.openxmlformats.org/officeDocument/2006/relationships/hyperlink" Target="https://app.hubspot.com/pages/24024882/editor/212697483948" TargetMode="External"/><Relationship Id="rId63" Type="http://schemas.openxmlformats.org/officeDocument/2006/relationships/hyperlink" Target="https://gcpflexpack-24024882.hs-sites.com/products/printed-rollstock/laser-die-cut-window-rollstock" TargetMode="External"/><Relationship Id="rId84" Type="http://schemas.openxmlformats.org/officeDocument/2006/relationships/hyperlink" Target="https://gcpflexpack-24024882.hs-sites.com/sustainable-packaging/internal-recycling-facility/" TargetMode="External"/><Relationship Id="rId138" Type="http://schemas.openxmlformats.org/officeDocument/2006/relationships/hyperlink" Target="https://gcpflexpack-24024882.hs-sites.com/products/premade-pouches/" TargetMode="External"/><Relationship Id="rId159" Type="http://schemas.openxmlformats.org/officeDocument/2006/relationships/hyperlink" Target="https://gcpflexpack-24024882.hs-sites.com/news/c-p-flexible-packaging-announces-intelligraphix-systems" TargetMode="External"/><Relationship Id="rId170" Type="http://schemas.openxmlformats.org/officeDocument/2006/relationships/hyperlink" Target="https://gcpflexpack-24024882.hs-sites.com/news/2024-mdm-show-c-p-flexible-packaging/" TargetMode="External"/><Relationship Id="rId191" Type="http://schemas.openxmlformats.org/officeDocument/2006/relationships/hyperlink" Target="https://gcpflexpack-24024882.hs-sites.com/learning-center/how-an-artisan-meats-company-improved-their-productivity-and-branding-with-die-cut-rollstock" TargetMode="External"/><Relationship Id="rId205" Type="http://schemas.openxmlformats.org/officeDocument/2006/relationships/hyperlink" Target="https://gcpflexpack-24024882.hs-sites.com/news" TargetMode="External"/><Relationship Id="rId226" Type="http://schemas.openxmlformats.org/officeDocument/2006/relationships/hyperlink" Target="https://gcpflexpack-24024882.hs-sites.com/news/c-p-flexible-packaging-enables-rapid-development-of-voortmans-resealable-cookie-packaging" TargetMode="External"/><Relationship Id="rId107" Type="http://schemas.openxmlformats.org/officeDocument/2006/relationships/hyperlink" Target="https://gcpflexpack-24024882.hs-sites.com/products/shrink-sleeves" TargetMode="External"/><Relationship Id="rId11" Type="http://schemas.openxmlformats.org/officeDocument/2006/relationships/hyperlink" Target="https://app.hubspot.com/pages/24024882/editor/212771156613" TargetMode="External"/><Relationship Id="rId32" Type="http://schemas.openxmlformats.org/officeDocument/2006/relationships/hyperlink" Target="https://app.hubspot.com/pages/24024882/editor/212771152024" TargetMode="External"/><Relationship Id="rId53" Type="http://schemas.openxmlformats.org/officeDocument/2006/relationships/hyperlink" Target="https://app.hubspot.com/pages/24024882/editor/212770973196" TargetMode="External"/><Relationship Id="rId74" Type="http://schemas.openxmlformats.org/officeDocument/2006/relationships/hyperlink" Target="https://gcpflexpack-24024882.hs-sites.com/products/premade-pouches/flat-bottom-pouches" TargetMode="External"/><Relationship Id="rId128" Type="http://schemas.openxmlformats.org/officeDocument/2006/relationships/hyperlink" Target="https://gcpflexpack-24024882.hs-sites.com/locations/aurora-ontario-canada/" TargetMode="External"/><Relationship Id="rId149" Type="http://schemas.openxmlformats.org/officeDocument/2006/relationships/hyperlink" Target="https://gcpflexpack-24024882.hs-sites.com/glossary/film/" TargetMode="External"/><Relationship Id="rId5" Type="http://schemas.openxmlformats.org/officeDocument/2006/relationships/hyperlink" Target="https://app.hubspot.com/pages/24024882/editor/212841340082" TargetMode="External"/><Relationship Id="rId95" Type="http://schemas.openxmlformats.org/officeDocument/2006/relationships/hyperlink" Target="https://gcpflexpack-24024882.hs-sites.com/capabilities/finishing-slitting-flexible-packaging/" TargetMode="External"/><Relationship Id="rId160" Type="http://schemas.openxmlformats.org/officeDocument/2006/relationships/hyperlink" Target="https://gcpflexpack-24024882.hs-sites.com/news/c-p-flexible-packaging-announces-intelligraphix-systems" TargetMode="External"/><Relationship Id="rId181" Type="http://schemas.openxmlformats.org/officeDocument/2006/relationships/hyperlink" Target="https://gcpflexpack-24024882.hs-sites.com/learning-center/what-is-cold-seal-packaging" TargetMode="External"/><Relationship Id="rId216" Type="http://schemas.openxmlformats.org/officeDocument/2006/relationships/hyperlink" Target="https://gcpflexpack-24024882.hs-sites.com/news/c-p-flexible-packaging-acquires-fruth-custom-packaging-inc-and-cleanroom-film-and-bag-inc" TargetMode="External"/><Relationship Id="rId237" Type="http://schemas.openxmlformats.org/officeDocument/2006/relationships/hyperlink" Target="https://gcpflexpack-24024882.hs-sites.com/news/preferred-packaging-launches-greenstream-fiber-trays-a-new-standard-in-sustainable-meal-packaging" TargetMode="External"/><Relationship Id="rId22" Type="http://schemas.openxmlformats.org/officeDocument/2006/relationships/hyperlink" Target="https://app.hubspot.com/pages/24024882/editor/212860442496" TargetMode="External"/><Relationship Id="rId43" Type="http://schemas.openxmlformats.org/officeDocument/2006/relationships/hyperlink" Target="https://app.hubspot.com/pages/24024882/editor/212770788262" TargetMode="External"/><Relationship Id="rId64" Type="http://schemas.openxmlformats.org/officeDocument/2006/relationships/hyperlink" Target="https://gcpflexpack-24024882.hs-sites.com/products/printed-rollstock/child-resistant-flexible-packaging" TargetMode="External"/><Relationship Id="rId118" Type="http://schemas.openxmlformats.org/officeDocument/2006/relationships/hyperlink" Target="https://gcpflexpack-24024882.hs-sites.com/products/premade-pouches/zipper-pouches" TargetMode="External"/><Relationship Id="rId139" Type="http://schemas.openxmlformats.org/officeDocument/2006/relationships/hyperlink" Target="https://app.hubspot.com/pages/24024882/" TargetMode="External"/><Relationship Id="rId85" Type="http://schemas.openxmlformats.org/officeDocument/2006/relationships/hyperlink" Target="https://gcpflexpack-24024882.hs-sites.com/products/premade-pouches/laser-scored-pouches-easy-open-packaging" TargetMode="External"/><Relationship Id="rId150" Type="http://schemas.openxmlformats.org/officeDocument/2006/relationships/hyperlink" Target="https://app.hubspot.com/pages/24024882/" TargetMode="External"/><Relationship Id="rId171" Type="http://schemas.openxmlformats.org/officeDocument/2006/relationships/hyperlink" Target="https://gcpflexpack-24024882.hs-sites.com/news/c-p-flexible-packaging-invests-in-new-poly-bag-manufacturing-capabilities" TargetMode="External"/><Relationship Id="rId192" Type="http://schemas.openxmlformats.org/officeDocument/2006/relationships/hyperlink" Target="https://gcpflexpack-24024882.hs-sites.com/learning-center/how-an-artisan-meats-company-improved-their-productivity-and-branding-with-die-cut-rollstock" TargetMode="External"/><Relationship Id="rId206" Type="http://schemas.openxmlformats.org/officeDocument/2006/relationships/hyperlink" Target="https://gcpflexpack-24024882.hs-sites.com/news" TargetMode="External"/><Relationship Id="rId227" Type="http://schemas.openxmlformats.org/officeDocument/2006/relationships/hyperlink" Target="https://gcpflexpack-24024882.hs-sites.com/news/c-p-flexible-packaging-launches-new-website" TargetMode="External"/><Relationship Id="rId12" Type="http://schemas.openxmlformats.org/officeDocument/2006/relationships/hyperlink" Target="https://app.hubspot.com/pages/24024882/editor/212771153725" TargetMode="External"/><Relationship Id="rId33" Type="http://schemas.openxmlformats.org/officeDocument/2006/relationships/hyperlink" Target="https://app.hubspot.com/pages/24024882/editor/212702608394" TargetMode="External"/><Relationship Id="rId108" Type="http://schemas.openxmlformats.org/officeDocument/2006/relationships/hyperlink" Target="https://gcpflexpack-24024882.hs-sites.com/products/premade-pouches/slider-pouches" TargetMode="External"/><Relationship Id="rId129" Type="http://schemas.openxmlformats.org/officeDocument/2006/relationships/hyperlink" Target="https://app.hubspot.com/pages/24024882/" TargetMode="External"/><Relationship Id="rId54" Type="http://schemas.openxmlformats.org/officeDocument/2006/relationships/hyperlink" Target="https://app.hubspot.com/pages/24024882/editor/212770786443" TargetMode="External"/><Relationship Id="rId75" Type="http://schemas.openxmlformats.org/officeDocument/2006/relationships/hyperlink" Target="https://gcpflexpack-24024882.hs-sites.com/capabilities/flexible-package-design-and-consultation" TargetMode="External"/><Relationship Id="rId96" Type="http://schemas.openxmlformats.org/officeDocument/2006/relationships/hyperlink" Target="https://gcpflexpack-24024882.hs-sites.com/products/printed-rollstock/paper-flexible-packaging/" TargetMode="External"/><Relationship Id="rId140" Type="http://schemas.openxmlformats.org/officeDocument/2006/relationships/hyperlink" Target="https://gcpflexpack-24024882.hs-sites.com/products/printed-rollstock/" TargetMode="External"/><Relationship Id="rId161" Type="http://schemas.openxmlformats.org/officeDocument/2006/relationships/hyperlink" Target="https://gcpflexpack-24024882.hs-sites.com/news/c-p-flexible-packaging-earns-top-brcgs-rating-aa-for-food-packaging-quality-and-safety" TargetMode="External"/><Relationship Id="rId182" Type="http://schemas.openxmlformats.org/officeDocument/2006/relationships/hyperlink" Target="https://gcpflexpack-24024882.hs-sites.com/learning-center/what-is-cold-seal-packaging" TargetMode="External"/><Relationship Id="rId217" Type="http://schemas.openxmlformats.org/officeDocument/2006/relationships/hyperlink" Target="https://gcpflexpack-24024882.hs-sites.com/news/c-p-flexible-packaging-announces-acquisition-of-bass-flexible-packaging-inc" TargetMode="External"/><Relationship Id="rId6" Type="http://schemas.openxmlformats.org/officeDocument/2006/relationships/hyperlink" Target="https://app.hubspot.com/pages/24024882/editor/212841338279" TargetMode="External"/><Relationship Id="rId238" Type="http://schemas.openxmlformats.org/officeDocument/2006/relationships/hyperlink" Target="https://gcpflexpack-24024882.hs-sites.com/news/preferred-packaging-launches-greenstream-fiber-trays-a-new-standard-in-sustainable-meal-packaging" TargetMode="External"/><Relationship Id="rId23" Type="http://schemas.openxmlformats.org/officeDocument/2006/relationships/hyperlink" Target="https://app.hubspot.com/pages/24024882/editor/212867483399" TargetMode="External"/><Relationship Id="rId119" Type="http://schemas.openxmlformats.org/officeDocument/2006/relationships/hyperlink" Target="https://app.hubspot.com/pages/24024882/" TargetMode="External"/><Relationship Id="rId44" Type="http://schemas.openxmlformats.org/officeDocument/2006/relationships/hyperlink" Target="https://app.hubspot.com/pages/24024882/editor/212656433732" TargetMode="External"/><Relationship Id="rId65" Type="http://schemas.openxmlformats.org/officeDocument/2006/relationships/hyperlink" Target="https://gcpflexpack-24024882.hs-sites.com/products/bags/cleanroom-bags" TargetMode="External"/><Relationship Id="rId86" Type="http://schemas.openxmlformats.org/officeDocument/2006/relationships/hyperlink" Target="https://gcpflexpack-24024882.hs-sites.com/products/printed-rollstock/lidding-films" TargetMode="External"/><Relationship Id="rId130" Type="http://schemas.openxmlformats.org/officeDocument/2006/relationships/hyperlink" Target="https://gcpflexpack-24024882.hs-sites.com/locations/c-p-bristol/" TargetMode="External"/><Relationship Id="rId151" Type="http://schemas.openxmlformats.org/officeDocument/2006/relationships/hyperlink" Target="https://gcpflexpack-24024882.hs-sites.com/flexible-packaging-calculator/" TargetMode="External"/><Relationship Id="rId172" Type="http://schemas.openxmlformats.org/officeDocument/2006/relationships/hyperlink" Target="https://gcpflexpack-24024882.hs-sites.com/news/c-p-flexible-packaging-invests-in-new-poly-bag-manufacturing-capabilities" TargetMode="External"/><Relationship Id="rId193" Type="http://schemas.openxmlformats.org/officeDocument/2006/relationships/hyperlink" Target="https://gcpflexpack-24024882.hs-sites.com/learning-center/how-to-cut-flexible-packaging-costs-eliminate-delivery-issues" TargetMode="External"/><Relationship Id="rId207" Type="http://schemas.openxmlformats.org/officeDocument/2006/relationships/hyperlink" Target="https://gcpflexpack-24024882.hs-sites.com/news/author/admin" TargetMode="External"/><Relationship Id="rId228" Type="http://schemas.openxmlformats.org/officeDocument/2006/relationships/hyperlink" Target="https://gcpflexpack-24024882.hs-sites.com/news/c-p-flexible-packaging-launches-new-website" TargetMode="External"/><Relationship Id="rId13" Type="http://schemas.openxmlformats.org/officeDocument/2006/relationships/hyperlink" Target="https://app.hubspot.com/pages/24024882/editor/212770786167" TargetMode="External"/><Relationship Id="rId109" Type="http://schemas.openxmlformats.org/officeDocument/2006/relationships/hyperlink" Target="https://gcpflexpack-24024882.hs-sites.com/markets/snack-products/" TargetMode="External"/><Relationship Id="rId34" Type="http://schemas.openxmlformats.org/officeDocument/2006/relationships/hyperlink" Target="https://app.hubspot.com/pages/24024882/editor/212771116896" TargetMode="External"/><Relationship Id="rId55" Type="http://schemas.openxmlformats.org/officeDocument/2006/relationships/hyperlink" Target="https://app.hubspot.com/pages/24024882/editor/212770977807" TargetMode="External"/><Relationship Id="rId76" Type="http://schemas.openxmlformats.org/officeDocument/2006/relationships/hyperlink" Target="https://gcpflexpack-24024882.hs-sites.com/capabilities/flexible-packaging-prepress-services/" TargetMode="External"/><Relationship Id="rId97" Type="http://schemas.openxmlformats.org/officeDocument/2006/relationships/hyperlink" Target="https://gcpflexpack-24024882.hs-sites.com/products/premade-pouches/paper-pouches" TargetMode="External"/><Relationship Id="rId120" Type="http://schemas.openxmlformats.org/officeDocument/2006/relationships/hyperlink" Target="https://gcpflexpack-24024882.hs-sites.com/locations/lakeville-minnesota/" TargetMode="External"/><Relationship Id="rId141" Type="http://schemas.openxmlformats.org/officeDocument/2006/relationships/hyperlink" Target="https://app.hubspot.com/pages/24024882/" TargetMode="External"/><Relationship Id="rId7" Type="http://schemas.openxmlformats.org/officeDocument/2006/relationships/hyperlink" Target="https://app.hubspot.com/pages/24024882/editor/212841335178" TargetMode="External"/><Relationship Id="rId162" Type="http://schemas.openxmlformats.org/officeDocument/2006/relationships/hyperlink" Target="https://gcpflexpack-24024882.hs-sites.com/news/c-p-flexible-packaging-earns-top-brcgs-rating-aa-for-food-packaging-quality-and-safety" TargetMode="External"/><Relationship Id="rId183" Type="http://schemas.openxmlformats.org/officeDocument/2006/relationships/hyperlink" Target="https://gcpflexpack-24024882.hs-sites.com/learning-center" TargetMode="External"/><Relationship Id="rId218" Type="http://schemas.openxmlformats.org/officeDocument/2006/relationships/hyperlink" Target="https://gcpflexpack-24024882.hs-sites.com/news/c-p-flexible-packaging-announces-acquisition-of-bass-flexible-packaging-inc" TargetMode="External"/><Relationship Id="rId239" Type="http://schemas.openxmlformats.org/officeDocument/2006/relationships/hyperlink" Target="https://gcpflexpack-24024882.hs-sites.com/redesigning-flexible-packaging-sustainability-shelf-appeal" TargetMode="External"/><Relationship Id="rId24" Type="http://schemas.openxmlformats.org/officeDocument/2006/relationships/hyperlink" Target="https://app.hubspot.com/pages/24024882/editor/212780726292" TargetMode="External"/><Relationship Id="rId45" Type="http://schemas.openxmlformats.org/officeDocument/2006/relationships/hyperlink" Target="https://app.hubspot.com/pages/24024882/editor/212632377765" TargetMode="External"/><Relationship Id="rId66" Type="http://schemas.openxmlformats.org/officeDocument/2006/relationships/hyperlink" Target="https://gcpflexpack-24024882.hs-sites.com/markets/coffee" TargetMode="External"/><Relationship Id="rId87" Type="http://schemas.openxmlformats.org/officeDocument/2006/relationships/hyperlink" Target="https://gcpflexpack-24024882.hs-sites.com/markets" TargetMode="External"/><Relationship Id="rId110" Type="http://schemas.openxmlformats.org/officeDocument/2006/relationships/hyperlink" Target="https://gcpflexpack-24024882.hs-sites.com/sustainable-packaging/solar-powered-manufacturing" TargetMode="External"/><Relationship Id="rId131" Type="http://schemas.openxmlformats.org/officeDocument/2006/relationships/hyperlink" Target="https://app.hubspot.com/pages/24024882/" TargetMode="External"/><Relationship Id="rId152" Type="http://schemas.openxmlformats.org/officeDocument/2006/relationships/hyperlink" Target="https://app.hubspot.com/pages/24024882/" TargetMode="External"/><Relationship Id="rId173" Type="http://schemas.openxmlformats.org/officeDocument/2006/relationships/hyperlink" Target="https://gcpflexpack-24024882.hs-sites.com/news/c-p-flexible-packaging-welcomes-dave-klopp-as-vice-president-of-sales" TargetMode="External"/><Relationship Id="rId194" Type="http://schemas.openxmlformats.org/officeDocument/2006/relationships/hyperlink" Target="https://gcpflexpack-24024882.hs-sites.com/learning-center/how-to-cut-flexible-packaging-costs-eliminate-delivery-issues" TargetMode="External"/><Relationship Id="rId208" Type="http://schemas.openxmlformats.org/officeDocument/2006/relationships/hyperlink" Target="https://gcpflexpack-24024882.hs-sites.com/news/author/admin" TargetMode="External"/><Relationship Id="rId229" Type="http://schemas.openxmlformats.org/officeDocument/2006/relationships/hyperlink" Target="https://gcpflexpack-24024882.hs-sites.com/news/c-p-flexible-packaging-teams-up-with-hr-pharmaceuticals-to-donate-hand-sanitizer-in-record-time" TargetMode="External"/><Relationship Id="rId240" Type="http://schemas.openxmlformats.org/officeDocument/2006/relationships/hyperlink" Target="https://gcpflexpack-24024882.hs-sites.com/redesigning-flexible-packaging-sustainability-shelf-appeal" TargetMode="External"/><Relationship Id="rId14" Type="http://schemas.openxmlformats.org/officeDocument/2006/relationships/hyperlink" Target="https://app.hubspot.com/pages/24024882/editor/212770788657" TargetMode="External"/><Relationship Id="rId35" Type="http://schemas.openxmlformats.org/officeDocument/2006/relationships/hyperlink" Target="https://app.hubspot.com/pages/24024882/editor/212702549149" TargetMode="External"/><Relationship Id="rId56" Type="http://schemas.openxmlformats.org/officeDocument/2006/relationships/hyperlink" Target="https://app.hubspot.com/pages/24024882/editor/212780725876" TargetMode="External"/><Relationship Id="rId77" Type="http://schemas.openxmlformats.org/officeDocument/2006/relationships/hyperlink" Target="https://gcpflexpack-24024882.hs-sites.com/sustainable-packaging/greenstream-products/" TargetMode="External"/><Relationship Id="rId100" Type="http://schemas.openxmlformats.org/officeDocument/2006/relationships/hyperlink" Target="https://gcpflexpack-24024882.hs-sites.com/products/bags/poly-bags" TargetMode="External"/><Relationship Id="rId8" Type="http://schemas.openxmlformats.org/officeDocument/2006/relationships/hyperlink" Target="https://app.hubspot.com/pages/24024882/editor/212841756264" TargetMode="External"/><Relationship Id="rId98" Type="http://schemas.openxmlformats.org/officeDocument/2006/relationships/hyperlink" Target="https://gcpflexpack-24024882.hs-sites.com/products/printed-rollstock/peel-reseal-rollstock" TargetMode="External"/><Relationship Id="rId121" Type="http://schemas.openxmlformats.org/officeDocument/2006/relationships/hyperlink" Target="https://app.hubspot.com/pages/24024882/" TargetMode="External"/><Relationship Id="rId142" Type="http://schemas.openxmlformats.org/officeDocument/2006/relationships/hyperlink" Target="https://gcpflexpack-24024882.hs-sites.com/" TargetMode="External"/><Relationship Id="rId163" Type="http://schemas.openxmlformats.org/officeDocument/2006/relationships/hyperlink" Target="https://gcpflexpack-24024882.hs-sites.com/news/c-p-flexible-packaging-showcases-proprietary-lidding-films-for-high-pressure-pasteurization-at-iddba-2023" TargetMode="External"/><Relationship Id="rId184" Type="http://schemas.openxmlformats.org/officeDocument/2006/relationships/hyperlink" Target="https://gcpflexpack-24024882.hs-sites.com/learning-center" TargetMode="External"/><Relationship Id="rId219" Type="http://schemas.openxmlformats.org/officeDocument/2006/relationships/hyperlink" Target="https://gcpflexpack-24024882.hs-sites.com/news/c-p-flexible-packaging-announces-acquisition-of-prestige-pak-inc" TargetMode="External"/><Relationship Id="rId230" Type="http://schemas.openxmlformats.org/officeDocument/2006/relationships/hyperlink" Target="https://gcpflexpack-24024882.hs-sites.com/news/c-p-flexible-packaging-teams-up-with-hr-pharmaceuticals-to-donate-hand-sanitizer-in-record-time" TargetMode="External"/><Relationship Id="rId25" Type="http://schemas.openxmlformats.org/officeDocument/2006/relationships/hyperlink" Target="https://app.hubspot.com/pages/24024882/editor/212867484272" TargetMode="External"/><Relationship Id="rId46" Type="http://schemas.openxmlformats.org/officeDocument/2006/relationships/hyperlink" Target="https://app.hubspot.com/pages/24024882/editor/212770783859" TargetMode="External"/><Relationship Id="rId67" Type="http://schemas.openxmlformats.org/officeDocument/2006/relationships/hyperlink" Target="https://gcpflexpack-24024882.hs-sites.com/products/cold-seal-packaging" TargetMode="External"/><Relationship Id="rId88" Type="http://schemas.openxmlformats.org/officeDocument/2006/relationships/hyperlink" Target="https://gcpflexpack-24024882.hs-sites.com/products/premade-pouches/matte-and-gloss-pouches" TargetMode="External"/><Relationship Id="rId111" Type="http://schemas.openxmlformats.org/officeDocument/2006/relationships/hyperlink" Target="https://gcpflexpack-24024882.hs-sites.com/products/premade-pouches/spouted-pouches" TargetMode="External"/><Relationship Id="rId132" Type="http://schemas.openxmlformats.org/officeDocument/2006/relationships/hyperlink" Target="https://gcpflexpack-24024882.hs-sites.com/locations/fond-du-lac-wisconsin/" TargetMode="External"/><Relationship Id="rId153" Type="http://schemas.openxmlformats.org/officeDocument/2006/relationships/hyperlink" Target="https://gcpflexpack-24024882.hs-sites.com/careers" TargetMode="External"/><Relationship Id="rId174" Type="http://schemas.openxmlformats.org/officeDocument/2006/relationships/hyperlink" Target="https://gcpflexpack-24024882.hs-sites.com/news/c-p-flexible-packaging-welcomes-dave-klopp-as-vice-president-of-sales" TargetMode="External"/><Relationship Id="rId195" Type="http://schemas.openxmlformats.org/officeDocument/2006/relationships/hyperlink" Target="https://gcpflexpack-24024882.hs-sites.com/learning-center/redesigning-flexible-packaging-sustainability-shelf-appeal" TargetMode="External"/><Relationship Id="rId209" Type="http://schemas.openxmlformats.org/officeDocument/2006/relationships/hyperlink" Target="https://gcpflexpack-24024882.hs-sites.com/news/cleanroom-film-bags-adds-capacity-to-serve-increasing-demand-for-cleanroom-nylon-films-and-bags" TargetMode="External"/><Relationship Id="rId220" Type="http://schemas.openxmlformats.org/officeDocument/2006/relationships/hyperlink" Target="https://gcpflexpack-24024882.hs-sites.com/news/c-p-flexible-packaging-announces-acquisition-of-prestige-pak-inc" TargetMode="External"/><Relationship Id="rId241" Type="http://schemas.openxmlformats.org/officeDocument/2006/relationships/vmlDrawing" Target="../drawings/vmlDrawing1.vml"/><Relationship Id="rId15" Type="http://schemas.openxmlformats.org/officeDocument/2006/relationships/hyperlink" Target="https://app.hubspot.com/pages/24024882/editor/212771038866" TargetMode="External"/><Relationship Id="rId36" Type="http://schemas.openxmlformats.org/officeDocument/2006/relationships/hyperlink" Target="https://app.hubspot.com/pages/24024882/editor/212771088402" TargetMode="External"/><Relationship Id="rId57" Type="http://schemas.openxmlformats.org/officeDocument/2006/relationships/hyperlink" Target="https://app.hubspot.com/pages/24024882/editor/212632378720" TargetMode="External"/><Relationship Id="rId106" Type="http://schemas.openxmlformats.org/officeDocument/2006/relationships/hyperlink" Target="https://gcpflexpack-24024882.hs-sites.com/products/roll-fed-labels" TargetMode="External"/><Relationship Id="rId127" Type="http://schemas.openxmlformats.org/officeDocument/2006/relationships/hyperlink" Target="https://app.hubspot.com/pages/24024882/" TargetMode="External"/><Relationship Id="rId10" Type="http://schemas.openxmlformats.org/officeDocument/2006/relationships/hyperlink" Target="https://app.hubspot.com/pages/24024882/editor/212841757309" TargetMode="External"/><Relationship Id="rId31" Type="http://schemas.openxmlformats.org/officeDocument/2006/relationships/hyperlink" Target="https://app.hubspot.com/pages/24024882/editor/212702633299" TargetMode="External"/><Relationship Id="rId52" Type="http://schemas.openxmlformats.org/officeDocument/2006/relationships/hyperlink" Target="https://app.hubspot.com/pages/24024882/editor/212771002232" TargetMode="External"/><Relationship Id="rId73" Type="http://schemas.openxmlformats.org/officeDocument/2006/relationships/hyperlink" Target="https://gcpflexpack-24024882.hs-sites.com/cold-seal-packaging-guide" TargetMode="External"/><Relationship Id="rId78" Type="http://schemas.openxmlformats.org/officeDocument/2006/relationships/hyperlink" Target="https://gcpflexpack-24024882.hs-sites.com/markets/health-wellness-packaging/" TargetMode="External"/><Relationship Id="rId94" Type="http://schemas.openxmlformats.org/officeDocument/2006/relationships/hyperlink" Target="https://gcpflexpack-24024882.hs-sites.com/products" TargetMode="External"/><Relationship Id="rId99" Type="http://schemas.openxmlformats.org/officeDocument/2006/relationships/hyperlink" Target="https://gcpflexpack-24024882.hs-sites.com/markets/pet-foods/" TargetMode="External"/><Relationship Id="rId101" Type="http://schemas.openxmlformats.org/officeDocument/2006/relationships/hyperlink" Target="https://gcpflexpack-24024882.hs-sites.com/products/premade-pouches/pouches-with-handles" TargetMode="External"/><Relationship Id="rId122" Type="http://schemas.openxmlformats.org/officeDocument/2006/relationships/hyperlink" Target="https://gcpflexpack-24024882.hs-sites.com/locations/c-p-york/" TargetMode="External"/><Relationship Id="rId143" Type="http://schemas.openxmlformats.org/officeDocument/2006/relationships/hyperlink" Target="https://gcpflexpack-24024882.hs-sites.com/about-us" TargetMode="External"/><Relationship Id="rId148" Type="http://schemas.openxmlformats.org/officeDocument/2006/relationships/hyperlink" Target="https://app.hubspot.com/pages/24024882/" TargetMode="External"/><Relationship Id="rId164" Type="http://schemas.openxmlformats.org/officeDocument/2006/relationships/hyperlink" Target="https://gcpflexpack-24024882.hs-sites.com/news/c-p-flexible-packaging-showcases-proprietary-lidding-films-for-high-pressure-pasteurization-at-iddba-2023" TargetMode="External"/><Relationship Id="rId169" Type="http://schemas.openxmlformats.org/officeDocument/2006/relationships/hyperlink" Target="https://gcpflexpack-24024882.hs-sites.com/news/2024-mdm-show-c-p-flexible-packaging/" TargetMode="External"/><Relationship Id="rId185" Type="http://schemas.openxmlformats.org/officeDocument/2006/relationships/hyperlink" Target="https://gcpflexpack-24024882.hs-sites.com/learning-center/author/admin" TargetMode="External"/><Relationship Id="rId4" Type="http://schemas.openxmlformats.org/officeDocument/2006/relationships/hyperlink" Target="https://app.hubspot.com/pages/24024882/editor/212841360809" TargetMode="External"/><Relationship Id="rId9" Type="http://schemas.openxmlformats.org/officeDocument/2006/relationships/hyperlink" Target="https://app.hubspot.com/pages/24024882/editor/212841334536" TargetMode="External"/><Relationship Id="rId180" Type="http://schemas.openxmlformats.org/officeDocument/2006/relationships/hyperlink" Target="https://gcpflexpack-24024882.hs-sites.com/learning-center/commercially-viable-recyclable-stand-up-pouches" TargetMode="External"/><Relationship Id="rId210" Type="http://schemas.openxmlformats.org/officeDocument/2006/relationships/hyperlink" Target="https://gcpflexpack-24024882.hs-sites.com/news/cleanroom-film-bags-adds-capacity-to-serve-increasing-demand-for-cleanroom-nylon-films-and-bags" TargetMode="External"/><Relationship Id="rId215" Type="http://schemas.openxmlformats.org/officeDocument/2006/relationships/hyperlink" Target="https://gcpflexpack-24024882.hs-sites.com/news/c-p-flexible-packaging-acquires-fruth-custom-packaging-inc-and-cleanroom-film-and-bag-inc" TargetMode="External"/><Relationship Id="rId236" Type="http://schemas.openxmlformats.org/officeDocument/2006/relationships/hyperlink" Target="https://gcpflexpack-24024882.hs-sites.com/news/preferred-packaging-a-division-of-c-p-flexible-packaging-launches-new-sustainable-greenstream-pulp-trays" TargetMode="External"/><Relationship Id="rId26" Type="http://schemas.openxmlformats.org/officeDocument/2006/relationships/hyperlink" Target="https://app.hubspot.com/pages/24024882/editor/212780755229" TargetMode="External"/><Relationship Id="rId231" Type="http://schemas.openxmlformats.org/officeDocument/2006/relationships/hyperlink" Target="https://gcpflexpack-24024882.hs-sites.com/news/high-performance-packaging-for-extended-shelf-life-refrigerated-meals" TargetMode="External"/><Relationship Id="rId47" Type="http://schemas.openxmlformats.org/officeDocument/2006/relationships/hyperlink" Target="https://app.hubspot.com/pages/24024882/editor/212729735948" TargetMode="External"/><Relationship Id="rId68" Type="http://schemas.openxmlformats.org/officeDocument/2006/relationships/hyperlink" Target="https://gcpflexpack-24024882.hs-sites.com/products/printed-rollstock/compostable-flexible-packaging" TargetMode="External"/><Relationship Id="rId89" Type="http://schemas.openxmlformats.org/officeDocument/2006/relationships/hyperlink" Target="https://gcpflexpack-24024882.hs-sites.com/products/printed-rollstock/matte-gloss-packaging" TargetMode="External"/><Relationship Id="rId112" Type="http://schemas.openxmlformats.org/officeDocument/2006/relationships/hyperlink" Target="https://gcpflexpack-24024882.hs-sites.com/products/premade-pouches/stand-up-pouches" TargetMode="External"/><Relationship Id="rId133" Type="http://schemas.openxmlformats.org/officeDocument/2006/relationships/hyperlink" Target="https://app.hubspot.com/pages/24024882/" TargetMode="External"/><Relationship Id="rId154" Type="http://schemas.openxmlformats.org/officeDocument/2006/relationships/hyperlink" Target="https://app.hubspot.com/pages/24024882/editor/212656334125/content" TargetMode="External"/><Relationship Id="rId175" Type="http://schemas.openxmlformats.org/officeDocument/2006/relationships/hyperlink" Target="https://gcpflexpack-24024882.hs-sites.com/learning-center/vetting-potential-cold-seal-packaging-suppliers" TargetMode="External"/><Relationship Id="rId196" Type="http://schemas.openxmlformats.org/officeDocument/2006/relationships/hyperlink" Target="https://gcpflexpack-24024882.hs-sites.com/learning-center/redesigning-flexible-packaging-sustainability-shelf-appeal" TargetMode="External"/><Relationship Id="rId200" Type="http://schemas.openxmlformats.org/officeDocument/2006/relationships/hyperlink" Target="https://gcpflexpack-24024882.hs-sites.com/learning-center/sustainable-wipes-packaging-101" TargetMode="External"/><Relationship Id="rId16" Type="http://schemas.openxmlformats.org/officeDocument/2006/relationships/hyperlink" Target="https://app.hubspot.com/pages/24024882/editor/212771039519" TargetMode="External"/><Relationship Id="rId221" Type="http://schemas.openxmlformats.org/officeDocument/2006/relationships/hyperlink" Target="https://gcpflexpack-24024882.hs-sites.com/news/c-p-flexible-packaging-announces-commitment-to-convert-50-of-companys-u-s-plants-to-solar-power-by-2025" TargetMode="External"/><Relationship Id="rId242" Type="http://schemas.openxmlformats.org/officeDocument/2006/relationships/comments" Target="../comments1.xml"/><Relationship Id="rId37" Type="http://schemas.openxmlformats.org/officeDocument/2006/relationships/hyperlink" Target="https://app.hubspot.com/pages/24024882/editor/212697561679" TargetMode="External"/><Relationship Id="rId58" Type="http://schemas.openxmlformats.org/officeDocument/2006/relationships/hyperlink" Target="https://app.hubspot.com/pages/24024882/editor/212915848026" TargetMode="External"/><Relationship Id="rId79" Type="http://schemas.openxmlformats.org/officeDocument/2006/relationships/hyperlink" Target="https://gcpflexpack-24024882.hs-sites.com/products/printed-rollstock/hffs-vffs-rollstock" TargetMode="External"/><Relationship Id="rId102" Type="http://schemas.openxmlformats.org/officeDocument/2006/relationships/hyperlink" Target="https://gcpflexpack-24024882.hs-sites.com/privacy-policy" TargetMode="External"/><Relationship Id="rId123" Type="http://schemas.openxmlformats.org/officeDocument/2006/relationships/hyperlink" Target="https://app.hubspot.com/pages/24024882/" TargetMode="External"/><Relationship Id="rId144" Type="http://schemas.openxmlformats.org/officeDocument/2006/relationships/hyperlink" Target="https://app.hubspot.com/pages/24024882/" TargetMode="External"/><Relationship Id="rId90" Type="http://schemas.openxmlformats.org/officeDocument/2006/relationships/hyperlink" Target="https://gcpflexpack-24024882.hs-sites.com/markets/medical-electronics-cleanroom-packaging/" TargetMode="External"/><Relationship Id="rId165" Type="http://schemas.openxmlformats.org/officeDocument/2006/relationships/hyperlink" Target="https://gcpflexpack-24024882.hs-sites.com/news/introducing-virtual-press-check-capabilities-for-customers-in-critical-infrastructure-industries" TargetMode="External"/><Relationship Id="rId186" Type="http://schemas.openxmlformats.org/officeDocument/2006/relationships/hyperlink" Target="https://gcpflexpack-24024882.hs-sites.com/learning-center/author/admin" TargetMode="External"/><Relationship Id="rId211" Type="http://schemas.openxmlformats.org/officeDocument/2006/relationships/hyperlink" Target="https://gcpflexpack-24024882.hs-sites.com/news/cleanroom-film-bags-expands-offering-of-customized-sterilizable-packaging" TargetMode="External"/><Relationship Id="rId232" Type="http://schemas.openxmlformats.org/officeDocument/2006/relationships/hyperlink" Target="https://gcpflexpack-24024882.hs-sites.com/news/high-performance-packaging-for-extended-shelf-life-refrigerated-meals" TargetMode="External"/><Relationship Id="rId27" Type="http://schemas.openxmlformats.org/officeDocument/2006/relationships/hyperlink" Target="https://app.hubspot.com/pages/24024882/editor/212870492281" TargetMode="External"/><Relationship Id="rId48" Type="http://schemas.openxmlformats.org/officeDocument/2006/relationships/hyperlink" Target="https://app.hubspot.com/pages/24024882/editor/212726050189" TargetMode="External"/><Relationship Id="rId69" Type="http://schemas.openxmlformats.org/officeDocument/2006/relationships/hyperlink" Target="https://gcpflexpack-24024882.hs-sites.com/products/premade-pouches/compostable-pouches" TargetMode="External"/><Relationship Id="rId113" Type="http://schemas.openxmlformats.org/officeDocument/2006/relationships/hyperlink" Target="https://gcpflexpack-24024882.hs-sites.com/products/bags/emi-static-shielding-bags" TargetMode="External"/><Relationship Id="rId134" Type="http://schemas.openxmlformats.org/officeDocument/2006/relationships/hyperlink" Target="https://gcpflexpack-24024882.hs-sites.com/locations/placentia-california/" TargetMode="External"/><Relationship Id="rId80" Type="http://schemas.openxmlformats.org/officeDocument/2006/relationships/hyperlink" Target="https://gcpflexpack-24024882.hs-sites.com/products/printed-rollstock/high-burst-strength-flexible-packaging" TargetMode="External"/><Relationship Id="rId155" Type="http://schemas.openxmlformats.org/officeDocument/2006/relationships/hyperlink" Target="https://gcpflexpack-24024882.hs-sites.com/news/cleanroom-film-bags-announces-grand-opening-of-new-solar-powered-cleanroom-packaging-facility" TargetMode="External"/><Relationship Id="rId176" Type="http://schemas.openxmlformats.org/officeDocument/2006/relationships/hyperlink" Target="https://gcpflexpack-24024882.hs-sites.com/learning-center/vetting-potential-cold-seal-packaging-suppliers" TargetMode="External"/><Relationship Id="rId197" Type="http://schemas.openxmlformats.org/officeDocument/2006/relationships/hyperlink" Target="https://gcpflexpack-24024882.hs-sites.com/learning-center/short-run-cold-seal-packaging-for-co-packers" TargetMode="External"/><Relationship Id="rId201" Type="http://schemas.openxmlformats.org/officeDocument/2006/relationships/hyperlink" Target="https://gcpflexpack-24024882.hs-sites.com/learning-center/the-benefits-of-reclose-technology" TargetMode="External"/><Relationship Id="rId222" Type="http://schemas.openxmlformats.org/officeDocument/2006/relationships/hyperlink" Target="https://gcpflexpack-24024882.hs-sites.com/news/c-p-flexible-packaging-announces-commitment-to-convert-50-of-companys-u-s-plants-to-solar-power-by-2025" TargetMode="External"/><Relationship Id="rId17" Type="http://schemas.openxmlformats.org/officeDocument/2006/relationships/hyperlink" Target="https://app.hubspot.com/pages/24024882/editor/212841799969" TargetMode="External"/><Relationship Id="rId38" Type="http://schemas.openxmlformats.org/officeDocument/2006/relationships/hyperlink" Target="https://app.hubspot.com/pages/24024882/editor/212771053407" TargetMode="External"/><Relationship Id="rId59" Type="http://schemas.openxmlformats.org/officeDocument/2006/relationships/hyperlink" Target="https://app.hubspot.com/pages/24024882/editor/212915823435" TargetMode="External"/><Relationship Id="rId103" Type="http://schemas.openxmlformats.org/officeDocument/2006/relationships/hyperlink" Target="https://gcpflexpack-24024882.hs-sites.com/products/printed-rollstock/recyclable-flexible-packaging" TargetMode="External"/><Relationship Id="rId124" Type="http://schemas.openxmlformats.org/officeDocument/2006/relationships/hyperlink" Target="https://gcpflexpack-24024882.hs-sites.com/locations/preferred-packaging/" TargetMode="External"/><Relationship Id="rId70" Type="http://schemas.openxmlformats.org/officeDocument/2006/relationships/hyperlink" Target="https://gcpflexpack-24024882.hs-sites.com/markets/confectionery" TargetMode="External"/><Relationship Id="rId91" Type="http://schemas.openxmlformats.org/officeDocument/2006/relationships/hyperlink" Target="https://gcpflexpack-24024882.hs-sites.com/products/bags/nylon-bag" TargetMode="External"/><Relationship Id="rId145" Type="http://schemas.openxmlformats.org/officeDocument/2006/relationships/hyperlink" Target="https://gcpflexpack-24024882.hs-sites.com/contact/" TargetMode="External"/><Relationship Id="rId166" Type="http://schemas.openxmlformats.org/officeDocument/2006/relationships/hyperlink" Target="https://gcpflexpack-24024882.hs-sites.com/news/introducing-virtual-press-check-capabilities-for-customers-in-critical-infrastructure-industries" TargetMode="External"/><Relationship Id="rId187" Type="http://schemas.openxmlformats.org/officeDocument/2006/relationships/hyperlink" Target="https://gcpflexpack-24024882.hs-sites.com/learning-center/benefits-of-cold-seal-packaging" TargetMode="External"/><Relationship Id="rId1" Type="http://schemas.openxmlformats.org/officeDocument/2006/relationships/hyperlink" Target="https://app.hubspot.com/pages/24024882/editor/212643322246" TargetMode="External"/><Relationship Id="rId212" Type="http://schemas.openxmlformats.org/officeDocument/2006/relationships/hyperlink" Target="https://gcpflexpack-24024882.hs-sites.com/news/cleanroom-film-bags-expands-offering-of-customized-sterilizable-packaging" TargetMode="External"/><Relationship Id="rId233" Type="http://schemas.openxmlformats.org/officeDocument/2006/relationships/hyperlink" Target="https://gcpflexpack-24024882.hs-sites.com/news/introducing-c-p-greenstream-portfolio-of-sustainable-packaging-solutions" TargetMode="External"/><Relationship Id="rId28" Type="http://schemas.openxmlformats.org/officeDocument/2006/relationships/hyperlink" Target="https://app.hubspot.com/pages/24024882/editor/212637871214" TargetMode="External"/><Relationship Id="rId49" Type="http://schemas.openxmlformats.org/officeDocument/2006/relationships/hyperlink" Target="https://app.hubspot.com/pages/24024882/editor/212771003966" TargetMode="External"/><Relationship Id="rId114" Type="http://schemas.openxmlformats.org/officeDocument/2006/relationships/hyperlink" Target="https://gcpflexpack-24024882.hs-sites.com/products/printed-rollstock/stick-pack-film-laminations" TargetMode="External"/><Relationship Id="rId60" Type="http://schemas.openxmlformats.org/officeDocument/2006/relationships/hyperlink" Target="https://gcpflexpack-24024882.hs-sites.com/markets/aerospace-packaging/" TargetMode="External"/><Relationship Id="rId81" Type="http://schemas.openxmlformats.org/officeDocument/2006/relationships/hyperlink" Target="https://gcpflexpack-24024882.hs-sites.com/products/printed-rollstock/high-barrier-flexible-packaging" TargetMode="External"/><Relationship Id="rId135" Type="http://schemas.openxmlformats.org/officeDocument/2006/relationships/hyperlink" Target="https://app.hubspot.com/pages/24024882/" TargetMode="External"/><Relationship Id="rId156" Type="http://schemas.openxmlformats.org/officeDocument/2006/relationships/hyperlink" Target="https://gcpflexpack-24024882.hs-sites.com/news/cleanroom-film-bags-announces-grand-opening-of-new-solar-powered-cleanroom-packaging-facility" TargetMode="External"/><Relationship Id="rId177" Type="http://schemas.openxmlformats.org/officeDocument/2006/relationships/hyperlink" Target="https://gcpflexpack-24024882.hs-sites.com/learning-center/shrink-bands" TargetMode="External"/><Relationship Id="rId198" Type="http://schemas.openxmlformats.org/officeDocument/2006/relationships/hyperlink" Target="https://gcpflexpack-24024882.hs-sites.com/learning-center/short-run-cold-seal-packaging-for-co-packers" TargetMode="External"/><Relationship Id="rId202" Type="http://schemas.openxmlformats.org/officeDocument/2006/relationships/hyperlink" Target="https://gcpflexpack-24024882.hs-sites.com/learning-center/the-benefits-of-reclose-technology" TargetMode="External"/><Relationship Id="rId223" Type="http://schemas.openxmlformats.org/officeDocument/2006/relationships/hyperlink" Target="https://gcpflexpack-24024882.hs-sites.com/news/c-p-flexible-packaging-awarded-highest-achievable-brcgs-ratings-for-product-quality-and-safety" TargetMode="External"/><Relationship Id="rId18" Type="http://schemas.openxmlformats.org/officeDocument/2006/relationships/hyperlink" Target="https://app.hubspot.com/pages/24024882/editor/212841802657" TargetMode="External"/><Relationship Id="rId39" Type="http://schemas.openxmlformats.org/officeDocument/2006/relationships/hyperlink" Target="https://app.hubspot.com/pages/24024882/editor/212697249792" TargetMode="External"/><Relationship Id="rId50" Type="http://schemas.openxmlformats.org/officeDocument/2006/relationships/hyperlink" Target="https://app.hubspot.com/pages/24024882/editor/212723132984" TargetMode="External"/><Relationship Id="rId104" Type="http://schemas.openxmlformats.org/officeDocument/2006/relationships/hyperlink" Target="https://gcpflexpack-24024882.hs-sites.com/products/premade-pouches/recyclable-pouches" TargetMode="External"/><Relationship Id="rId125" Type="http://schemas.openxmlformats.org/officeDocument/2006/relationships/hyperlink" Target="https://app.hubspot.com/pages/24024882/" TargetMode="External"/><Relationship Id="rId146" Type="http://schemas.openxmlformats.org/officeDocument/2006/relationships/hyperlink" Target="https://app.hubspot.com/pages/24024882/" TargetMode="External"/><Relationship Id="rId167" Type="http://schemas.openxmlformats.org/officeDocument/2006/relationships/hyperlink" Target="https://gcpflexpack-24024882.hs-sites.com/news/c-p-flexible-packaging-acquires-preferred-packaging-in-georgia" TargetMode="External"/><Relationship Id="rId188" Type="http://schemas.openxmlformats.org/officeDocument/2006/relationships/hyperlink" Target="https://gcpflexpack-24024882.hs-sites.com/learning-center/benefits-of-cold-seal-packaging" TargetMode="External"/><Relationship Id="rId71" Type="http://schemas.openxmlformats.org/officeDocument/2006/relationships/hyperlink" Target="https://gcpflexpack-24024882.hs-sites.com/markets/cookies-bakery-products/" TargetMode="External"/><Relationship Id="rId92" Type="http://schemas.openxmlformats.org/officeDocument/2006/relationships/hyperlink" Target="https://gcpflexpack-24024882.hs-sites.com/about-us/our-companies" TargetMode="External"/><Relationship Id="rId213" Type="http://schemas.openxmlformats.org/officeDocument/2006/relationships/hyperlink" Target="https://gcpflexpack-24024882.hs-sites.com/news/c-p-expands-medical-packaging-capabilities-through-fruth-division-to-meet-rising-demand-for-biohazard-autoclave-bags" TargetMode="External"/><Relationship Id="rId234" Type="http://schemas.openxmlformats.org/officeDocument/2006/relationships/hyperlink" Target="https://gcpflexpack-24024882.hs-sites.com/news/introducing-c-p-greenstream-portfolio-of-sustainable-packaging-solutions" TargetMode="External"/><Relationship Id="rId2" Type="http://schemas.openxmlformats.org/officeDocument/2006/relationships/hyperlink" Target="https://app.hubspot.com/pages/24024882/editor/212874726802" TargetMode="External"/><Relationship Id="rId29" Type="http://schemas.openxmlformats.org/officeDocument/2006/relationships/hyperlink" Target="https://app.hubspot.com/pages/24024882/editor/212712018012" TargetMode="External"/><Relationship Id="rId40" Type="http://schemas.openxmlformats.org/officeDocument/2006/relationships/hyperlink" Target="https://app.hubspot.com/pages/24024882/editor/212697247491" TargetMode="External"/><Relationship Id="rId115" Type="http://schemas.openxmlformats.org/officeDocument/2006/relationships/hyperlink" Target="https://gcpflexpack-24024882.hs-sites.com/products/stretch-sleeves" TargetMode="External"/><Relationship Id="rId136" Type="http://schemas.openxmlformats.org/officeDocument/2006/relationships/hyperlink" Target="https://gcpflexpack-24024882.hs-sites.com/capabilities/extrusion-adhesive-lamination/" TargetMode="External"/><Relationship Id="rId157" Type="http://schemas.openxmlformats.org/officeDocument/2006/relationships/hyperlink" Target="https://gcpflexpack-24024882.hs-sites.com/news/c-p-flexible-packaging-announces-acquisition-of-genpak-flexible" TargetMode="External"/><Relationship Id="rId178" Type="http://schemas.openxmlformats.org/officeDocument/2006/relationships/hyperlink" Target="https://gcpflexpack-24024882.hs-sites.com/learning-center/shrink-bands" TargetMode="External"/><Relationship Id="rId61" Type="http://schemas.openxmlformats.org/officeDocument/2006/relationships/hyperlink" Target="https://gcpflexpack-24024882.hs-sites.com/products/bags/autoclave-bags" TargetMode="External"/><Relationship Id="rId82" Type="http://schemas.openxmlformats.org/officeDocument/2006/relationships/hyperlink" Target="https://gcpflexpack-24024882.hs-sites.com/capabilities/high-definition-flexographic-printing/" TargetMode="External"/><Relationship Id="rId199" Type="http://schemas.openxmlformats.org/officeDocument/2006/relationships/hyperlink" Target="https://gcpflexpack-24024882.hs-sites.com/learning-center/sustainable-wipes-packaging-101" TargetMode="External"/><Relationship Id="rId203" Type="http://schemas.openxmlformats.org/officeDocument/2006/relationships/hyperlink" Target="https://gcpflexpack-24024882.hs-sites.com/locations/orange-california" TargetMode="External"/><Relationship Id="rId19" Type="http://schemas.openxmlformats.org/officeDocument/2006/relationships/hyperlink" Target="https://app.hubspot.com/pages/24024882/editor/212841369512" TargetMode="External"/><Relationship Id="rId224" Type="http://schemas.openxmlformats.org/officeDocument/2006/relationships/hyperlink" Target="https://gcpflexpack-24024882.hs-sites.com/news/c-p-flexible-packaging-awarded-highest-achievable-brcgs-ratings-for-product-quality-and-safety" TargetMode="External"/><Relationship Id="rId30" Type="http://schemas.openxmlformats.org/officeDocument/2006/relationships/hyperlink" Target="https://app.hubspot.com/pages/24024882/editor/212771149912" TargetMode="External"/><Relationship Id="rId105" Type="http://schemas.openxmlformats.org/officeDocument/2006/relationships/hyperlink" Target="https://gcpflexpack-24024882.hs-sites.com/request-a-consultation" TargetMode="External"/><Relationship Id="rId126" Type="http://schemas.openxmlformats.org/officeDocument/2006/relationships/hyperlink" Target="https://gcpflexpack-24024882.hs-sites.com/locations/c-p-buffalo/" TargetMode="External"/><Relationship Id="rId147" Type="http://schemas.openxmlformats.org/officeDocument/2006/relationships/hyperlink" Target="https://gcpflexpack-24024882.hs-sites.com/glossary/pouch/" TargetMode="External"/><Relationship Id="rId168" Type="http://schemas.openxmlformats.org/officeDocument/2006/relationships/hyperlink" Target="https://gcpflexpack-24024882.hs-sites.com/news/c-p-flexible-packaging-acquires-preferred-packaging-in-georgia" TargetMode="External"/><Relationship Id="rId51" Type="http://schemas.openxmlformats.org/officeDocument/2006/relationships/hyperlink" Target="https://app.hubspot.com/pages/24024882/editor/212722190259" TargetMode="External"/><Relationship Id="rId72" Type="http://schemas.openxmlformats.org/officeDocument/2006/relationships/hyperlink" Target="https://gcpflexpack-24024882.hs-sites.com/products/printed-rollstock/shrink-bands" TargetMode="External"/><Relationship Id="rId93" Type="http://schemas.openxmlformats.org/officeDocument/2006/relationships/hyperlink" Target="https://gcpflexpack-24024882.hs-sites.com/flexible-packaging-technology" TargetMode="External"/><Relationship Id="rId189" Type="http://schemas.openxmlformats.org/officeDocument/2006/relationships/hyperlink" Target="https://gcpflexpack-24024882.hs-sites.com/learning-center/fixing-flexible-packaging-performance-print-quality-issues" TargetMode="External"/><Relationship Id="rId3" Type="http://schemas.openxmlformats.org/officeDocument/2006/relationships/hyperlink" Target="https://app.hubspot.com/pages/24024882/editor/212841371249" TargetMode="External"/><Relationship Id="rId214" Type="http://schemas.openxmlformats.org/officeDocument/2006/relationships/hyperlink" Target="https://gcpflexpack-24024882.hs-sites.com/news/c-p-expands-medical-packaging-capabilities-through-fruth-division-to-meet-rising-demand-for-biohazard-autoclave-bags" TargetMode="External"/><Relationship Id="rId235" Type="http://schemas.openxmlformats.org/officeDocument/2006/relationships/hyperlink" Target="https://gcpflexpack-24024882.hs-sites.com/news/preferred-packaging-a-division-of-c-p-flexible-packaging-launches-new-sustainable-greenstream-pulp-trays" TargetMode="External"/><Relationship Id="rId116" Type="http://schemas.openxmlformats.org/officeDocument/2006/relationships/hyperlink" Target="https://gcpflexpack-24024882.hs-sites.com/sustainable-packaging/" TargetMode="External"/><Relationship Id="rId137" Type="http://schemas.openxmlformats.org/officeDocument/2006/relationships/hyperlink" Target="https://app.hubspot.com/pages/24024882/" TargetMode="External"/><Relationship Id="rId158" Type="http://schemas.openxmlformats.org/officeDocument/2006/relationships/hyperlink" Target="https://gcpflexpack-24024882.hs-sites.com/news/c-p-flexible-packaging-announces-acquisition-of-genpak-flexible" TargetMode="External"/><Relationship Id="rId20" Type="http://schemas.openxmlformats.org/officeDocument/2006/relationships/hyperlink" Target="https://app.hubspot.com/pages/24024882/editor/212841399876" TargetMode="External"/><Relationship Id="rId41" Type="http://schemas.openxmlformats.org/officeDocument/2006/relationships/hyperlink" Target="https://app.hubspot.com/pages/24024882/editor/212770974979" TargetMode="External"/><Relationship Id="rId62" Type="http://schemas.openxmlformats.org/officeDocument/2006/relationships/hyperlink" Target="https://gcpflexpack-24024882.hs-sites.com/products/bags" TargetMode="External"/><Relationship Id="rId83" Type="http://schemas.openxmlformats.org/officeDocument/2006/relationships/hyperlink" Target="https://gcpflexpack-24024882.hs-sites.com/products/printed-rollstock/inno-lok-pre-zippered-rollstock" TargetMode="External"/><Relationship Id="rId179" Type="http://schemas.openxmlformats.org/officeDocument/2006/relationships/hyperlink" Target="https://gcpflexpack-24024882.hs-sites.com/learning-center/commercially-viable-recyclable-stand-up-pouches" TargetMode="External"/><Relationship Id="rId190" Type="http://schemas.openxmlformats.org/officeDocument/2006/relationships/hyperlink" Target="https://gcpflexpack-24024882.hs-sites.com/learning-center/fixing-flexible-packaging-performance-print-quality-issues" TargetMode="External"/><Relationship Id="rId204" Type="http://schemas.openxmlformats.org/officeDocument/2006/relationships/hyperlink" Target="https://gcpflexpack-24024882.hs-sites.com/locations/orange-california" TargetMode="External"/><Relationship Id="rId225" Type="http://schemas.openxmlformats.org/officeDocument/2006/relationships/hyperlink" Target="https://gcpflexpack-24024882.hs-sites.com/news/c-p-flexible-packaging-enables-rapid-development-of-voortmans-resealable-cookie-packag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30852-F254-4DC2-ACE0-BF5EEDEDFADE}">
  <dimension ref="A1:AF121"/>
  <sheetViews>
    <sheetView tabSelected="1" workbookViewId="0">
      <pane xSplit="2" ySplit="1" topLeftCell="R2" activePane="bottomRight" state="frozenSplit"/>
      <selection pane="topRight" activeCell="C1" sqref="C1"/>
      <selection pane="bottomLeft" activeCell="A2" sqref="A2"/>
      <selection pane="bottomRight" activeCell="U2" sqref="U2"/>
    </sheetView>
  </sheetViews>
  <sheetFormatPr defaultRowHeight="12.75" x14ac:dyDescent="0.35"/>
  <cols>
    <col min="1" max="1" width="46.59765625" style="1" customWidth="1"/>
    <col min="2" max="2" width="42.59765625" style="1" customWidth="1"/>
    <col min="3" max="3" width="15.59765625" style="1" customWidth="1"/>
    <col min="4" max="4" width="11.59765625" style="1" customWidth="1"/>
    <col min="5" max="6" width="12.59765625" style="1" customWidth="1"/>
    <col min="7" max="7" width="14.59765625" style="1" customWidth="1"/>
    <col min="8" max="8" width="16.59765625" style="1" customWidth="1"/>
    <col min="9" max="9" width="18.59765625" style="1" customWidth="1"/>
    <col min="10" max="10" width="12.59765625" style="1" customWidth="1"/>
    <col min="11" max="11" width="14.59765625" style="1" customWidth="1"/>
    <col min="12" max="12" width="18.59765625" style="1" customWidth="1"/>
    <col min="13" max="13" width="13.59765625" style="1" customWidth="1"/>
    <col min="14" max="14" width="14.59765625" style="1" customWidth="1"/>
    <col min="15" max="15" width="11.59765625" style="1" customWidth="1"/>
    <col min="16" max="16" width="34.59765625" style="1" customWidth="1"/>
    <col min="17" max="18" width="50.59765625" style="1" customWidth="1"/>
    <col min="19" max="19" width="24.6640625" style="1" customWidth="1"/>
    <col min="20" max="20" width="12.59765625" style="1" customWidth="1"/>
    <col min="21" max="21" width="13.59765625" style="1" customWidth="1"/>
    <col min="22" max="22" width="16.59765625" style="1" customWidth="1"/>
    <col min="23" max="23" width="12.59765625" style="1" customWidth="1"/>
    <col min="24" max="32" width="13.59765625" style="1" customWidth="1"/>
    <col min="33" max="16384" width="9.06640625" style="1"/>
  </cols>
  <sheetData>
    <row r="1" spans="1:32" ht="42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9" t="s">
        <v>141</v>
      </c>
      <c r="R1" s="9" t="s">
        <v>142</v>
      </c>
      <c r="S1" s="9" t="s">
        <v>171</v>
      </c>
      <c r="T1" s="9" t="s">
        <v>252</v>
      </c>
      <c r="U1" s="9" t="s">
        <v>253</v>
      </c>
      <c r="V1" s="9" t="s">
        <v>254</v>
      </c>
      <c r="W1" s="9" t="s">
        <v>257</v>
      </c>
      <c r="X1" s="16" t="s">
        <v>371</v>
      </c>
      <c r="Y1" s="16" t="s">
        <v>372</v>
      </c>
      <c r="Z1" s="16" t="s">
        <v>373</v>
      </c>
      <c r="AA1" s="16" t="s">
        <v>374</v>
      </c>
      <c r="AB1" s="16" t="s">
        <v>375</v>
      </c>
      <c r="AC1" s="16" t="s">
        <v>376</v>
      </c>
      <c r="AD1" s="16" t="s">
        <v>377</v>
      </c>
      <c r="AE1" s="16" t="s">
        <v>378</v>
      </c>
      <c r="AF1" s="16" t="s">
        <v>379</v>
      </c>
    </row>
    <row r="2" spans="1:32" ht="63.75" x14ac:dyDescent="0.35">
      <c r="A2" s="3" t="s">
        <v>16</v>
      </c>
      <c r="B2" s="4" t="s">
        <v>17</v>
      </c>
      <c r="C2" s="5" t="s">
        <v>18</v>
      </c>
      <c r="D2" s="5"/>
      <c r="E2" s="5" t="s">
        <v>143</v>
      </c>
      <c r="F2" s="5" t="s">
        <v>143</v>
      </c>
      <c r="G2" s="5" t="s">
        <v>143</v>
      </c>
      <c r="H2" s="5" t="s">
        <v>19</v>
      </c>
      <c r="I2" s="5" t="s">
        <v>19</v>
      </c>
      <c r="J2" s="5" t="s">
        <v>143</v>
      </c>
      <c r="K2" s="5" t="s">
        <v>19</v>
      </c>
      <c r="L2" s="5"/>
      <c r="M2" s="7"/>
      <c r="N2" s="7">
        <v>46197</v>
      </c>
      <c r="O2" s="8">
        <f t="shared" ref="O2:O33" si="0">COUNTIF(E2:K2,"Complete")/7</f>
        <v>0.5714285714285714</v>
      </c>
      <c r="P2" s="6" t="s">
        <v>154</v>
      </c>
      <c r="Q2" s="10" t="s">
        <v>147</v>
      </c>
      <c r="R2" s="10" t="s">
        <v>149</v>
      </c>
      <c r="S2" s="11" t="s">
        <v>172</v>
      </c>
      <c r="T2" s="1" t="s">
        <v>255</v>
      </c>
      <c r="U2" s="1" t="s">
        <v>255</v>
      </c>
      <c r="V2" s="1" t="s">
        <v>256</v>
      </c>
      <c r="W2" s="12"/>
      <c r="X2" s="11" t="s">
        <v>380</v>
      </c>
      <c r="Y2" s="11" t="s">
        <v>380</v>
      </c>
      <c r="Z2" s="11" t="s">
        <v>380</v>
      </c>
      <c r="AA2" s="11"/>
      <c r="AB2" s="11"/>
      <c r="AC2" s="11"/>
      <c r="AD2" s="11" t="s">
        <v>380</v>
      </c>
      <c r="AE2" s="11" t="s">
        <v>380</v>
      </c>
      <c r="AF2" s="11"/>
    </row>
    <row r="3" spans="1:32" ht="51" x14ac:dyDescent="0.35">
      <c r="A3" s="3" t="s">
        <v>20</v>
      </c>
      <c r="B3" s="4" t="s">
        <v>21</v>
      </c>
      <c r="C3" s="5" t="s">
        <v>22</v>
      </c>
      <c r="D3" s="5"/>
      <c r="E3" s="5" t="s">
        <v>143</v>
      </c>
      <c r="F3" s="5" t="s">
        <v>143</v>
      </c>
      <c r="G3" s="5" t="s">
        <v>143</v>
      </c>
      <c r="H3" s="5" t="s">
        <v>19</v>
      </c>
      <c r="I3" s="5" t="s">
        <v>19</v>
      </c>
      <c r="J3" s="5" t="s">
        <v>143</v>
      </c>
      <c r="K3" s="5" t="s">
        <v>19</v>
      </c>
      <c r="L3" s="5"/>
      <c r="M3" s="7"/>
      <c r="N3" s="7">
        <v>46197</v>
      </c>
      <c r="O3" s="8">
        <f t="shared" si="0"/>
        <v>0.5714285714285714</v>
      </c>
      <c r="P3" s="6" t="s">
        <v>155</v>
      </c>
      <c r="Q3" s="10" t="s">
        <v>148</v>
      </c>
      <c r="R3" s="10" t="s">
        <v>150</v>
      </c>
      <c r="S3" s="11"/>
      <c r="T3" s="1" t="s">
        <v>255</v>
      </c>
      <c r="U3" s="1" t="s">
        <v>255</v>
      </c>
      <c r="V3" s="1" t="s">
        <v>256</v>
      </c>
      <c r="W3" s="12">
        <v>46206</v>
      </c>
      <c r="X3" s="11" t="s">
        <v>380</v>
      </c>
      <c r="Y3" s="11" t="s">
        <v>380</v>
      </c>
      <c r="Z3" s="11" t="s">
        <v>380</v>
      </c>
      <c r="AA3" s="11"/>
      <c r="AB3" s="11"/>
      <c r="AC3" s="11"/>
      <c r="AD3" s="11" t="s">
        <v>380</v>
      </c>
      <c r="AE3" s="11" t="s">
        <v>380</v>
      </c>
      <c r="AF3" s="11"/>
    </row>
    <row r="4" spans="1:32" ht="51" x14ac:dyDescent="0.35">
      <c r="A4" s="3" t="s">
        <v>23</v>
      </c>
      <c r="B4" s="4" t="s">
        <v>24</v>
      </c>
      <c r="C4" s="5" t="s">
        <v>22</v>
      </c>
      <c r="D4" s="5"/>
      <c r="E4" s="5" t="s">
        <v>143</v>
      </c>
      <c r="F4" s="5" t="s">
        <v>143</v>
      </c>
      <c r="G4" s="5" t="s">
        <v>143</v>
      </c>
      <c r="H4" s="5" t="s">
        <v>19</v>
      </c>
      <c r="I4" s="5" t="s">
        <v>19</v>
      </c>
      <c r="J4" s="5" t="s">
        <v>143</v>
      </c>
      <c r="K4" s="5" t="s">
        <v>19</v>
      </c>
      <c r="L4" s="5"/>
      <c r="M4" s="7"/>
      <c r="N4" s="7">
        <v>46197</v>
      </c>
      <c r="O4" s="8">
        <f t="shared" si="0"/>
        <v>0.5714285714285714</v>
      </c>
      <c r="P4" s="6" t="s">
        <v>156</v>
      </c>
      <c r="Q4" s="10" t="s">
        <v>146</v>
      </c>
      <c r="R4" s="10" t="s">
        <v>151</v>
      </c>
      <c r="S4" s="11"/>
      <c r="T4" s="1" t="s">
        <v>255</v>
      </c>
      <c r="U4" s="1" t="s">
        <v>255</v>
      </c>
      <c r="V4" s="1" t="s">
        <v>256</v>
      </c>
      <c r="W4" s="12">
        <v>46206</v>
      </c>
      <c r="X4" s="11" t="s">
        <v>380</v>
      </c>
      <c r="Y4" s="11" t="s">
        <v>380</v>
      </c>
      <c r="Z4" s="11" t="s">
        <v>380</v>
      </c>
      <c r="AA4" s="11"/>
      <c r="AB4" s="11"/>
      <c r="AC4" s="11"/>
      <c r="AD4" s="11" t="s">
        <v>380</v>
      </c>
      <c r="AE4" s="11" t="s">
        <v>380</v>
      </c>
      <c r="AF4" s="11"/>
    </row>
    <row r="5" spans="1:32" ht="63.75" x14ac:dyDescent="0.35">
      <c r="A5" s="3" t="s">
        <v>25</v>
      </c>
      <c r="B5" s="4" t="s">
        <v>26</v>
      </c>
      <c r="C5" s="5" t="s">
        <v>22</v>
      </c>
      <c r="D5" s="5"/>
      <c r="E5" s="5" t="s">
        <v>143</v>
      </c>
      <c r="F5" s="5" t="s">
        <v>143</v>
      </c>
      <c r="G5" s="5" t="s">
        <v>143</v>
      </c>
      <c r="H5" s="5" t="s">
        <v>19</v>
      </c>
      <c r="I5" s="5" t="s">
        <v>19</v>
      </c>
      <c r="J5" s="5" t="s">
        <v>179</v>
      </c>
      <c r="K5" s="5" t="s">
        <v>19</v>
      </c>
      <c r="L5" s="5"/>
      <c r="M5" s="7"/>
      <c r="N5" s="7">
        <v>46197</v>
      </c>
      <c r="O5" s="8">
        <f t="shared" si="0"/>
        <v>0.42857142857142855</v>
      </c>
      <c r="P5" s="6" t="s">
        <v>169</v>
      </c>
      <c r="Q5" s="10" t="s">
        <v>145</v>
      </c>
      <c r="R5" s="10" t="s">
        <v>152</v>
      </c>
      <c r="S5" s="11"/>
      <c r="T5" s="1" t="s">
        <v>255</v>
      </c>
      <c r="U5" s="1" t="s">
        <v>179</v>
      </c>
      <c r="V5" s="1" t="s">
        <v>256</v>
      </c>
      <c r="W5" s="12"/>
      <c r="X5" s="11" t="s">
        <v>380</v>
      </c>
      <c r="Y5" s="11" t="s">
        <v>380</v>
      </c>
      <c r="Z5" s="11"/>
      <c r="AA5" s="11"/>
      <c r="AB5" s="11"/>
      <c r="AC5" s="11"/>
      <c r="AD5" s="11" t="s">
        <v>380</v>
      </c>
      <c r="AE5" s="11" t="s">
        <v>380</v>
      </c>
      <c r="AF5" s="11"/>
    </row>
    <row r="6" spans="1:32" ht="63.75" x14ac:dyDescent="0.35">
      <c r="A6" s="3" t="s">
        <v>27</v>
      </c>
      <c r="B6" s="4" t="s">
        <v>28</v>
      </c>
      <c r="C6" s="5" t="s">
        <v>22</v>
      </c>
      <c r="D6" s="5"/>
      <c r="E6" s="5" t="s">
        <v>143</v>
      </c>
      <c r="F6" s="5" t="s">
        <v>143</v>
      </c>
      <c r="G6" s="5" t="s">
        <v>143</v>
      </c>
      <c r="H6" s="5" t="s">
        <v>19</v>
      </c>
      <c r="I6" s="5" t="s">
        <v>19</v>
      </c>
      <c r="J6" s="5" t="s">
        <v>179</v>
      </c>
      <c r="K6" s="5" t="s">
        <v>19</v>
      </c>
      <c r="L6" s="5"/>
      <c r="M6" s="7"/>
      <c r="N6" s="7">
        <v>46197</v>
      </c>
      <c r="O6" s="8">
        <f t="shared" si="0"/>
        <v>0.42857142857142855</v>
      </c>
      <c r="P6" s="6" t="s">
        <v>170</v>
      </c>
      <c r="Q6" s="10" t="s">
        <v>144</v>
      </c>
      <c r="R6" s="10" t="s">
        <v>153</v>
      </c>
      <c r="S6" s="11"/>
      <c r="T6" s="1" t="s">
        <v>255</v>
      </c>
      <c r="U6" s="1" t="s">
        <v>179</v>
      </c>
      <c r="V6" s="1" t="s">
        <v>256</v>
      </c>
      <c r="W6" s="12"/>
      <c r="X6" s="11" t="s">
        <v>380</v>
      </c>
      <c r="Y6" s="11" t="s">
        <v>380</v>
      </c>
      <c r="Z6" s="11"/>
      <c r="AA6" s="11"/>
      <c r="AB6" s="11"/>
      <c r="AC6" s="11"/>
      <c r="AD6" s="11" t="s">
        <v>380</v>
      </c>
      <c r="AE6" s="11" t="s">
        <v>380</v>
      </c>
      <c r="AF6" s="11"/>
    </row>
    <row r="7" spans="1:32" ht="51" x14ac:dyDescent="0.35">
      <c r="A7" s="3" t="s">
        <v>29</v>
      </c>
      <c r="B7" s="4" t="s">
        <v>30</v>
      </c>
      <c r="C7" s="5" t="s">
        <v>22</v>
      </c>
      <c r="D7" s="5"/>
      <c r="E7" s="5" t="s">
        <v>143</v>
      </c>
      <c r="F7" s="5" t="s">
        <v>143</v>
      </c>
      <c r="G7" s="5" t="s">
        <v>143</v>
      </c>
      <c r="H7" s="5" t="s">
        <v>19</v>
      </c>
      <c r="I7" s="5" t="s">
        <v>19</v>
      </c>
      <c r="J7" s="5" t="s">
        <v>143</v>
      </c>
      <c r="K7" s="5" t="s">
        <v>19</v>
      </c>
      <c r="L7" s="5"/>
      <c r="M7" s="7"/>
      <c r="N7" s="7">
        <v>46198</v>
      </c>
      <c r="O7" s="8">
        <f t="shared" si="0"/>
        <v>0.5714285714285714</v>
      </c>
      <c r="P7" s="6" t="s">
        <v>177</v>
      </c>
      <c r="Q7" s="10" t="s">
        <v>159</v>
      </c>
      <c r="R7" s="10" t="s">
        <v>160</v>
      </c>
      <c r="S7" s="11"/>
      <c r="T7" s="1" t="s">
        <v>255</v>
      </c>
      <c r="U7" s="1" t="s">
        <v>255</v>
      </c>
      <c r="V7" s="1" t="s">
        <v>256</v>
      </c>
      <c r="W7" s="12"/>
      <c r="X7" s="11" t="s">
        <v>380</v>
      </c>
      <c r="Y7" s="11" t="s">
        <v>380</v>
      </c>
      <c r="Z7" s="11" t="s">
        <v>380</v>
      </c>
      <c r="AA7" s="11"/>
      <c r="AB7" s="11"/>
      <c r="AC7" s="11"/>
      <c r="AD7" s="11" t="s">
        <v>380</v>
      </c>
      <c r="AE7" s="11" t="s">
        <v>380</v>
      </c>
      <c r="AF7" s="11"/>
    </row>
    <row r="8" spans="1:32" ht="51" x14ac:dyDescent="0.35">
      <c r="A8" s="3" t="s">
        <v>31</v>
      </c>
      <c r="B8" s="4" t="s">
        <v>32</v>
      </c>
      <c r="C8" s="5" t="s">
        <v>18</v>
      </c>
      <c r="D8" s="5"/>
      <c r="E8" s="5" t="s">
        <v>143</v>
      </c>
      <c r="F8" s="5" t="s">
        <v>143</v>
      </c>
      <c r="G8" s="5" t="s">
        <v>143</v>
      </c>
      <c r="H8" s="5" t="s">
        <v>19</v>
      </c>
      <c r="I8" s="5" t="s">
        <v>19</v>
      </c>
      <c r="J8" s="5" t="s">
        <v>143</v>
      </c>
      <c r="K8" s="5" t="s">
        <v>19</v>
      </c>
      <c r="L8" s="5"/>
      <c r="M8" s="7"/>
      <c r="N8" s="7">
        <v>46197</v>
      </c>
      <c r="O8" s="8">
        <f t="shared" si="0"/>
        <v>0.5714285714285714</v>
      </c>
      <c r="P8" s="6" t="s">
        <v>173</v>
      </c>
      <c r="Q8" s="10" t="s">
        <v>161</v>
      </c>
      <c r="R8" s="10" t="s">
        <v>162</v>
      </c>
      <c r="S8" s="11"/>
      <c r="T8" s="1" t="s">
        <v>255</v>
      </c>
      <c r="U8" s="1" t="s">
        <v>255</v>
      </c>
      <c r="V8" s="1" t="s">
        <v>256</v>
      </c>
      <c r="W8" s="12"/>
      <c r="X8" s="11" t="s">
        <v>380</v>
      </c>
      <c r="Y8" s="11" t="s">
        <v>380</v>
      </c>
      <c r="Z8" s="11" t="s">
        <v>380</v>
      </c>
      <c r="AA8" s="11"/>
      <c r="AB8" s="11"/>
      <c r="AC8" s="11"/>
      <c r="AD8" s="11" t="s">
        <v>380</v>
      </c>
      <c r="AE8" s="11" t="s">
        <v>380</v>
      </c>
      <c r="AF8" s="11"/>
    </row>
    <row r="9" spans="1:32" ht="51" x14ac:dyDescent="0.35">
      <c r="A9" s="3" t="s">
        <v>33</v>
      </c>
      <c r="B9" s="4" t="s">
        <v>34</v>
      </c>
      <c r="C9" s="5" t="s">
        <v>22</v>
      </c>
      <c r="D9" s="5"/>
      <c r="E9" s="5" t="s">
        <v>143</v>
      </c>
      <c r="F9" s="5" t="s">
        <v>143</v>
      </c>
      <c r="G9" s="5" t="s">
        <v>143</v>
      </c>
      <c r="H9" s="5" t="s">
        <v>19</v>
      </c>
      <c r="I9" s="5" t="s">
        <v>19</v>
      </c>
      <c r="J9" s="5" t="s">
        <v>143</v>
      </c>
      <c r="K9" s="5" t="s">
        <v>19</v>
      </c>
      <c r="L9" s="5"/>
      <c r="M9" s="7"/>
      <c r="N9" s="7">
        <v>46198</v>
      </c>
      <c r="O9" s="8">
        <f t="shared" si="0"/>
        <v>0.5714285714285714</v>
      </c>
      <c r="P9" s="6" t="s">
        <v>174</v>
      </c>
      <c r="Q9" s="10" t="s">
        <v>163</v>
      </c>
      <c r="R9" s="10" t="s">
        <v>164</v>
      </c>
      <c r="S9" s="11"/>
      <c r="T9" s="1" t="s">
        <v>255</v>
      </c>
      <c r="U9" s="1" t="s">
        <v>255</v>
      </c>
      <c r="V9" s="1" t="s">
        <v>256</v>
      </c>
      <c r="W9" s="12"/>
      <c r="X9" s="11" t="s">
        <v>380</v>
      </c>
      <c r="Y9" s="11" t="s">
        <v>380</v>
      </c>
      <c r="Z9" s="11" t="s">
        <v>380</v>
      </c>
      <c r="AA9" s="11"/>
      <c r="AB9" s="11"/>
      <c r="AC9" s="11"/>
      <c r="AD9" s="11" t="s">
        <v>380</v>
      </c>
      <c r="AE9" s="11" t="s">
        <v>380</v>
      </c>
      <c r="AF9" s="11"/>
    </row>
    <row r="10" spans="1:32" ht="38.25" x14ac:dyDescent="0.35">
      <c r="A10" s="3" t="s">
        <v>35</v>
      </c>
      <c r="B10" s="4" t="s">
        <v>36</v>
      </c>
      <c r="C10" s="5" t="s">
        <v>22</v>
      </c>
      <c r="D10" s="5"/>
      <c r="E10" s="5" t="s">
        <v>143</v>
      </c>
      <c r="F10" s="5" t="s">
        <v>143</v>
      </c>
      <c r="G10" s="5" t="s">
        <v>143</v>
      </c>
      <c r="H10" s="5" t="s">
        <v>19</v>
      </c>
      <c r="I10" s="5" t="s">
        <v>19</v>
      </c>
      <c r="J10" s="5" t="s">
        <v>143</v>
      </c>
      <c r="K10" s="5" t="s">
        <v>19</v>
      </c>
      <c r="L10" s="5"/>
      <c r="M10" s="7"/>
      <c r="N10" s="7">
        <v>46198</v>
      </c>
      <c r="O10" s="8">
        <f t="shared" si="0"/>
        <v>0.5714285714285714</v>
      </c>
      <c r="P10" s="6" t="s">
        <v>175</v>
      </c>
      <c r="Q10" s="10" t="s">
        <v>165</v>
      </c>
      <c r="R10" s="10" t="s">
        <v>166</v>
      </c>
      <c r="S10" s="11"/>
      <c r="T10" s="1" t="s">
        <v>255</v>
      </c>
      <c r="U10" s="1" t="s">
        <v>255</v>
      </c>
      <c r="V10" s="1" t="s">
        <v>256</v>
      </c>
      <c r="W10" s="12"/>
      <c r="X10" s="11" t="s">
        <v>380</v>
      </c>
      <c r="Y10" s="11" t="s">
        <v>380</v>
      </c>
      <c r="Z10" s="11" t="s">
        <v>380</v>
      </c>
      <c r="AA10" s="11"/>
      <c r="AB10" s="11"/>
      <c r="AC10" s="11"/>
      <c r="AD10" s="11" t="s">
        <v>380</v>
      </c>
      <c r="AE10" s="11" t="s">
        <v>380</v>
      </c>
      <c r="AF10" s="11"/>
    </row>
    <row r="11" spans="1:32" ht="38.25" x14ac:dyDescent="0.35">
      <c r="A11" s="3" t="s">
        <v>37</v>
      </c>
      <c r="B11" s="4" t="s">
        <v>38</v>
      </c>
      <c r="C11" s="5" t="s">
        <v>22</v>
      </c>
      <c r="D11" s="5"/>
      <c r="E11" s="5" t="s">
        <v>143</v>
      </c>
      <c r="F11" s="5" t="s">
        <v>143</v>
      </c>
      <c r="G11" s="5" t="s">
        <v>143</v>
      </c>
      <c r="H11" s="5" t="s">
        <v>19</v>
      </c>
      <c r="I11" s="5" t="s">
        <v>19</v>
      </c>
      <c r="J11" s="5" t="s">
        <v>143</v>
      </c>
      <c r="K11" s="5" t="s">
        <v>19</v>
      </c>
      <c r="L11" s="5"/>
      <c r="M11" s="7"/>
      <c r="N11" s="7">
        <v>46198</v>
      </c>
      <c r="O11" s="8">
        <f t="shared" si="0"/>
        <v>0.5714285714285714</v>
      </c>
      <c r="P11" s="6" t="s">
        <v>176</v>
      </c>
      <c r="Q11" s="10" t="s">
        <v>167</v>
      </c>
      <c r="R11" s="10" t="s">
        <v>168</v>
      </c>
      <c r="S11" s="11"/>
      <c r="T11" s="1" t="s">
        <v>255</v>
      </c>
      <c r="U11" s="1" t="s">
        <v>255</v>
      </c>
      <c r="V11" s="1" t="s">
        <v>256</v>
      </c>
      <c r="W11" s="12"/>
      <c r="X11" s="11" t="s">
        <v>380</v>
      </c>
      <c r="Y11" s="11" t="s">
        <v>380</v>
      </c>
      <c r="Z11" s="11" t="s">
        <v>380</v>
      </c>
      <c r="AA11" s="11"/>
      <c r="AB11" s="11"/>
      <c r="AC11" s="11"/>
      <c r="AD11" s="11" t="s">
        <v>380</v>
      </c>
      <c r="AE11" s="11" t="s">
        <v>380</v>
      </c>
      <c r="AF11" s="11"/>
    </row>
    <row r="12" spans="1:32" ht="38.25" x14ac:dyDescent="0.35">
      <c r="A12" s="3" t="s">
        <v>39</v>
      </c>
      <c r="B12" s="4" t="s">
        <v>40</v>
      </c>
      <c r="C12" s="5" t="s">
        <v>18</v>
      </c>
      <c r="D12" s="5"/>
      <c r="E12" s="5" t="s">
        <v>143</v>
      </c>
      <c r="F12" s="5" t="s">
        <v>143</v>
      </c>
      <c r="G12" s="5" t="s">
        <v>143</v>
      </c>
      <c r="H12" s="5" t="s">
        <v>19</v>
      </c>
      <c r="I12" s="5" t="s">
        <v>19</v>
      </c>
      <c r="J12" s="5" t="s">
        <v>143</v>
      </c>
      <c r="K12" s="5" t="s">
        <v>19</v>
      </c>
      <c r="L12" s="5"/>
      <c r="M12" s="7"/>
      <c r="N12" s="7">
        <v>46198</v>
      </c>
      <c r="O12" s="8">
        <f t="shared" si="0"/>
        <v>0.5714285714285714</v>
      </c>
      <c r="P12" s="6" t="s">
        <v>190</v>
      </c>
      <c r="Q12" s="10" t="s">
        <v>180</v>
      </c>
      <c r="R12" s="10" t="s">
        <v>181</v>
      </c>
      <c r="S12" s="11"/>
      <c r="T12" s="1" t="s">
        <v>255</v>
      </c>
      <c r="U12" s="1" t="s">
        <v>255</v>
      </c>
      <c r="V12" s="1" t="s">
        <v>256</v>
      </c>
      <c r="W12" s="12"/>
      <c r="X12" s="11" t="s">
        <v>380</v>
      </c>
      <c r="Y12" s="11" t="s">
        <v>380</v>
      </c>
      <c r="Z12" s="11" t="s">
        <v>380</v>
      </c>
      <c r="AA12" s="11"/>
      <c r="AB12" s="11"/>
      <c r="AC12" s="11"/>
      <c r="AD12" s="11" t="s">
        <v>380</v>
      </c>
      <c r="AE12" s="11" t="s">
        <v>380</v>
      </c>
      <c r="AF12" s="11"/>
    </row>
    <row r="13" spans="1:32" ht="51" x14ac:dyDescent="0.35">
      <c r="A13" s="3" t="s">
        <v>41</v>
      </c>
      <c r="B13" s="4" t="s">
        <v>42</v>
      </c>
      <c r="C13" s="5" t="s">
        <v>18</v>
      </c>
      <c r="D13" s="5"/>
      <c r="E13" s="5" t="s">
        <v>143</v>
      </c>
      <c r="F13" s="5" t="s">
        <v>143</v>
      </c>
      <c r="G13" s="5" t="s">
        <v>143</v>
      </c>
      <c r="H13" s="5" t="s">
        <v>19</v>
      </c>
      <c r="I13" s="5" t="s">
        <v>19</v>
      </c>
      <c r="J13" s="5" t="s">
        <v>143</v>
      </c>
      <c r="K13" s="5" t="s">
        <v>19</v>
      </c>
      <c r="L13" s="5"/>
      <c r="M13" s="7"/>
      <c r="N13" s="7">
        <v>46198</v>
      </c>
      <c r="O13" s="8">
        <f t="shared" si="0"/>
        <v>0.5714285714285714</v>
      </c>
      <c r="P13" s="6" t="s">
        <v>191</v>
      </c>
      <c r="Q13" s="10" t="s">
        <v>182</v>
      </c>
      <c r="R13" s="10" t="s">
        <v>183</v>
      </c>
      <c r="S13" s="11"/>
      <c r="T13" s="1" t="s">
        <v>255</v>
      </c>
      <c r="U13" s="1" t="s">
        <v>255</v>
      </c>
      <c r="V13" s="1" t="s">
        <v>256</v>
      </c>
      <c r="W13" s="12"/>
      <c r="X13" s="11" t="s">
        <v>380</v>
      </c>
      <c r="Y13" s="11" t="s">
        <v>380</v>
      </c>
      <c r="Z13" s="11" t="s">
        <v>380</v>
      </c>
      <c r="AA13" s="11"/>
      <c r="AB13" s="11"/>
      <c r="AC13" s="11"/>
      <c r="AD13" s="11" t="s">
        <v>380</v>
      </c>
      <c r="AE13" s="11" t="s">
        <v>380</v>
      </c>
      <c r="AF13" s="11"/>
    </row>
    <row r="14" spans="1:32" ht="38.25" x14ac:dyDescent="0.35">
      <c r="A14" s="3" t="s">
        <v>43</v>
      </c>
      <c r="B14" s="4" t="s">
        <v>44</v>
      </c>
      <c r="C14" s="5" t="s">
        <v>22</v>
      </c>
      <c r="D14" s="5"/>
      <c r="E14" s="5" t="s">
        <v>143</v>
      </c>
      <c r="F14" s="5" t="s">
        <v>143</v>
      </c>
      <c r="G14" s="5" t="s">
        <v>143</v>
      </c>
      <c r="H14" s="5" t="s">
        <v>19</v>
      </c>
      <c r="I14" s="5" t="s">
        <v>19</v>
      </c>
      <c r="J14" s="5" t="s">
        <v>143</v>
      </c>
      <c r="K14" s="5" t="s">
        <v>19</v>
      </c>
      <c r="L14" s="5"/>
      <c r="M14" s="7"/>
      <c r="N14" s="7">
        <v>46199</v>
      </c>
      <c r="O14" s="8">
        <f t="shared" si="0"/>
        <v>0.5714285714285714</v>
      </c>
      <c r="P14" s="6" t="s">
        <v>192</v>
      </c>
      <c r="Q14" s="10" t="s">
        <v>184</v>
      </c>
      <c r="R14" s="10" t="s">
        <v>185</v>
      </c>
      <c r="S14" s="11"/>
      <c r="T14" s="1" t="s">
        <v>255</v>
      </c>
      <c r="U14" s="1" t="s">
        <v>255</v>
      </c>
      <c r="V14" s="1" t="s">
        <v>256</v>
      </c>
      <c r="W14" s="12"/>
      <c r="X14" s="11" t="s">
        <v>380</v>
      </c>
      <c r="Y14" s="11" t="s">
        <v>380</v>
      </c>
      <c r="Z14" s="11" t="s">
        <v>380</v>
      </c>
      <c r="AA14" s="11"/>
      <c r="AB14" s="11"/>
      <c r="AC14" s="11"/>
      <c r="AD14" s="11" t="s">
        <v>380</v>
      </c>
      <c r="AE14" s="11" t="s">
        <v>380</v>
      </c>
      <c r="AF14" s="11"/>
    </row>
    <row r="15" spans="1:32" ht="38.25" x14ac:dyDescent="0.35">
      <c r="A15" s="3" t="s">
        <v>45</v>
      </c>
      <c r="B15" s="4" t="s">
        <v>46</v>
      </c>
      <c r="C15" s="5" t="s">
        <v>47</v>
      </c>
      <c r="D15" s="5"/>
      <c r="E15" s="5" t="s">
        <v>143</v>
      </c>
      <c r="F15" s="5" t="s">
        <v>143</v>
      </c>
      <c r="G15" s="5" t="s">
        <v>143</v>
      </c>
      <c r="H15" s="5" t="s">
        <v>19</v>
      </c>
      <c r="I15" s="5" t="s">
        <v>19</v>
      </c>
      <c r="J15" s="5" t="s">
        <v>179</v>
      </c>
      <c r="K15" s="5" t="s">
        <v>19</v>
      </c>
      <c r="L15" s="5"/>
      <c r="M15" s="7"/>
      <c r="N15" s="7">
        <v>46199</v>
      </c>
      <c r="O15" s="8">
        <f t="shared" si="0"/>
        <v>0.42857142857142855</v>
      </c>
      <c r="P15" s="6" t="s">
        <v>193</v>
      </c>
      <c r="Q15" s="10" t="s">
        <v>186</v>
      </c>
      <c r="R15" s="10" t="s">
        <v>187</v>
      </c>
      <c r="S15" s="11"/>
      <c r="T15" s="1" t="s">
        <v>255</v>
      </c>
      <c r="U15" s="1" t="s">
        <v>179</v>
      </c>
      <c r="V15" s="1" t="s">
        <v>256</v>
      </c>
      <c r="W15" s="12">
        <v>46206</v>
      </c>
      <c r="X15" s="11" t="s">
        <v>380</v>
      </c>
      <c r="Y15" s="11" t="s">
        <v>380</v>
      </c>
      <c r="Z15" s="11"/>
      <c r="AA15" s="11"/>
      <c r="AB15" s="11"/>
      <c r="AC15" s="11"/>
      <c r="AD15" s="11" t="s">
        <v>380</v>
      </c>
      <c r="AE15" s="11" t="s">
        <v>380</v>
      </c>
      <c r="AF15" s="11"/>
    </row>
    <row r="16" spans="1:32" ht="38.25" x14ac:dyDescent="0.35">
      <c r="A16" s="3" t="s">
        <v>48</v>
      </c>
      <c r="B16" s="4" t="s">
        <v>49</v>
      </c>
      <c r="C16" s="5" t="s">
        <v>22</v>
      </c>
      <c r="D16" s="5"/>
      <c r="E16" s="5" t="s">
        <v>143</v>
      </c>
      <c r="F16" s="5" t="s">
        <v>143</v>
      </c>
      <c r="G16" s="5" t="s">
        <v>143</v>
      </c>
      <c r="H16" s="5" t="s">
        <v>19</v>
      </c>
      <c r="I16" s="5" t="s">
        <v>19</v>
      </c>
      <c r="J16" s="5" t="s">
        <v>143</v>
      </c>
      <c r="K16" s="5" t="s">
        <v>19</v>
      </c>
      <c r="L16" s="5"/>
      <c r="M16" s="7"/>
      <c r="N16" s="7">
        <v>46199</v>
      </c>
      <c r="O16" s="8">
        <f t="shared" si="0"/>
        <v>0.5714285714285714</v>
      </c>
      <c r="P16" s="6" t="s">
        <v>194</v>
      </c>
      <c r="Q16" s="10" t="s">
        <v>188</v>
      </c>
      <c r="R16" s="10" t="s">
        <v>189</v>
      </c>
      <c r="S16" s="11"/>
      <c r="T16" s="1" t="s">
        <v>255</v>
      </c>
      <c r="U16" s="1" t="s">
        <v>255</v>
      </c>
      <c r="V16" s="1" t="s">
        <v>256</v>
      </c>
      <c r="W16" s="12">
        <v>46206</v>
      </c>
      <c r="X16" s="11" t="s">
        <v>380</v>
      </c>
      <c r="Y16" s="11" t="s">
        <v>380</v>
      </c>
      <c r="Z16" s="11" t="s">
        <v>380</v>
      </c>
      <c r="AA16" s="11"/>
      <c r="AB16" s="11"/>
      <c r="AC16" s="11"/>
      <c r="AD16" s="11" t="s">
        <v>380</v>
      </c>
      <c r="AE16" s="11" t="s">
        <v>380</v>
      </c>
      <c r="AF16" s="11"/>
    </row>
    <row r="17" spans="1:32" ht="51" x14ac:dyDescent="0.35">
      <c r="A17" s="3" t="s">
        <v>50</v>
      </c>
      <c r="B17" s="4" t="s">
        <v>51</v>
      </c>
      <c r="C17" s="5" t="s">
        <v>52</v>
      </c>
      <c r="D17" s="5"/>
      <c r="E17" s="5" t="s">
        <v>143</v>
      </c>
      <c r="F17" s="5" t="s">
        <v>143</v>
      </c>
      <c r="G17" s="5" t="s">
        <v>143</v>
      </c>
      <c r="H17" s="5" t="s">
        <v>19</v>
      </c>
      <c r="I17" s="5" t="s">
        <v>19</v>
      </c>
      <c r="J17" s="5" t="s">
        <v>143</v>
      </c>
      <c r="K17" s="5" t="s">
        <v>19</v>
      </c>
      <c r="L17" s="5"/>
      <c r="M17" s="7"/>
      <c r="N17" s="7">
        <v>46199</v>
      </c>
      <c r="O17" s="8">
        <f t="shared" si="0"/>
        <v>0.5714285714285714</v>
      </c>
      <c r="P17" s="6" t="s">
        <v>207</v>
      </c>
      <c r="Q17" s="10" t="s">
        <v>195</v>
      </c>
      <c r="R17" s="10" t="s">
        <v>196</v>
      </c>
      <c r="S17" s="11"/>
      <c r="T17" s="1" t="s">
        <v>255</v>
      </c>
      <c r="U17" s="1" t="s">
        <v>255</v>
      </c>
      <c r="V17" s="1" t="s">
        <v>256</v>
      </c>
      <c r="W17" s="12">
        <v>46209</v>
      </c>
      <c r="X17" s="11" t="s">
        <v>380</v>
      </c>
      <c r="Y17" s="11" t="s">
        <v>380</v>
      </c>
      <c r="Z17" s="11" t="s">
        <v>380</v>
      </c>
      <c r="AA17" s="11"/>
      <c r="AB17" s="11"/>
      <c r="AC17" s="11"/>
      <c r="AD17" s="11" t="s">
        <v>380</v>
      </c>
      <c r="AE17" s="11" t="s">
        <v>380</v>
      </c>
      <c r="AF17" s="11"/>
    </row>
    <row r="18" spans="1:32" ht="51" x14ac:dyDescent="0.35">
      <c r="A18" s="3" t="s">
        <v>53</v>
      </c>
      <c r="B18" s="4" t="s">
        <v>54</v>
      </c>
      <c r="C18" s="5" t="s">
        <v>52</v>
      </c>
      <c r="D18" s="5"/>
      <c r="E18" s="5" t="s">
        <v>143</v>
      </c>
      <c r="F18" s="5" t="s">
        <v>143</v>
      </c>
      <c r="G18" s="5" t="s">
        <v>143</v>
      </c>
      <c r="H18" s="5" t="s">
        <v>19</v>
      </c>
      <c r="I18" s="5" t="s">
        <v>19</v>
      </c>
      <c r="J18" s="5" t="s">
        <v>143</v>
      </c>
      <c r="K18" s="5" t="s">
        <v>19</v>
      </c>
      <c r="L18" s="5"/>
      <c r="M18" s="7"/>
      <c r="N18" s="7">
        <v>46199</v>
      </c>
      <c r="O18" s="8">
        <f t="shared" si="0"/>
        <v>0.5714285714285714</v>
      </c>
      <c r="P18" s="6" t="s">
        <v>208</v>
      </c>
      <c r="Q18" s="10" t="s">
        <v>197</v>
      </c>
      <c r="R18" s="10" t="s">
        <v>198</v>
      </c>
      <c r="S18" s="11"/>
      <c r="T18" s="1" t="s">
        <v>255</v>
      </c>
      <c r="U18" s="1" t="s">
        <v>255</v>
      </c>
      <c r="V18" s="1" t="s">
        <v>256</v>
      </c>
      <c r="W18" s="12">
        <v>46209</v>
      </c>
      <c r="X18" s="11" t="s">
        <v>380</v>
      </c>
      <c r="Y18" s="11" t="s">
        <v>380</v>
      </c>
      <c r="Z18" s="11" t="s">
        <v>380</v>
      </c>
      <c r="AA18" s="11"/>
      <c r="AB18" s="11"/>
      <c r="AC18" s="11"/>
      <c r="AD18" s="11" t="s">
        <v>380</v>
      </c>
      <c r="AE18" s="11" t="s">
        <v>380</v>
      </c>
      <c r="AF18" s="11"/>
    </row>
    <row r="19" spans="1:32" ht="51" x14ac:dyDescent="0.35">
      <c r="A19" s="3" t="s">
        <v>55</v>
      </c>
      <c r="B19" s="4" t="s">
        <v>56</v>
      </c>
      <c r="C19" s="5" t="s">
        <v>57</v>
      </c>
      <c r="D19" s="5"/>
      <c r="E19" s="5" t="s">
        <v>143</v>
      </c>
      <c r="F19" s="5" t="s">
        <v>143</v>
      </c>
      <c r="G19" s="5" t="s">
        <v>143</v>
      </c>
      <c r="H19" s="5" t="s">
        <v>19</v>
      </c>
      <c r="I19" s="5" t="s">
        <v>19</v>
      </c>
      <c r="J19" s="5" t="s">
        <v>143</v>
      </c>
      <c r="K19" s="5" t="s">
        <v>19</v>
      </c>
      <c r="L19" s="5"/>
      <c r="M19" s="7"/>
      <c r="N19" s="7">
        <v>46199</v>
      </c>
      <c r="O19" s="8">
        <f t="shared" si="0"/>
        <v>0.5714285714285714</v>
      </c>
      <c r="P19" s="6" t="s">
        <v>205</v>
      </c>
      <c r="Q19" s="10" t="s">
        <v>199</v>
      </c>
      <c r="R19" s="10" t="s">
        <v>200</v>
      </c>
      <c r="S19" s="11"/>
      <c r="T19" s="1" t="s">
        <v>255</v>
      </c>
      <c r="U19" s="1" t="s">
        <v>255</v>
      </c>
      <c r="V19" s="1" t="s">
        <v>256</v>
      </c>
      <c r="W19" s="12"/>
      <c r="X19" s="11" t="s">
        <v>380</v>
      </c>
      <c r="Y19" s="11" t="s">
        <v>380</v>
      </c>
      <c r="Z19" s="11" t="s">
        <v>380</v>
      </c>
      <c r="AA19" s="11"/>
      <c r="AB19" s="11"/>
      <c r="AC19" s="11"/>
      <c r="AD19" s="11" t="s">
        <v>380</v>
      </c>
      <c r="AE19" s="11" t="s">
        <v>380</v>
      </c>
      <c r="AF19" s="11"/>
    </row>
    <row r="20" spans="1:32" ht="51" x14ac:dyDescent="0.35">
      <c r="A20" s="3" t="s">
        <v>58</v>
      </c>
      <c r="B20" s="4" t="s">
        <v>59</v>
      </c>
      <c r="C20" s="5" t="s">
        <v>18</v>
      </c>
      <c r="D20" s="5"/>
      <c r="E20" s="5" t="s">
        <v>143</v>
      </c>
      <c r="F20" s="5" t="s">
        <v>143</v>
      </c>
      <c r="G20" s="5" t="s">
        <v>143</v>
      </c>
      <c r="H20" s="5" t="s">
        <v>19</v>
      </c>
      <c r="I20" s="5" t="s">
        <v>19</v>
      </c>
      <c r="J20" s="5" t="s">
        <v>143</v>
      </c>
      <c r="K20" s="5" t="s">
        <v>19</v>
      </c>
      <c r="L20" s="5"/>
      <c r="M20" s="7"/>
      <c r="N20" s="7">
        <v>46199</v>
      </c>
      <c r="O20" s="8">
        <f t="shared" si="0"/>
        <v>0.5714285714285714</v>
      </c>
      <c r="P20" s="6" t="s">
        <v>206</v>
      </c>
      <c r="Q20" s="10" t="s">
        <v>201</v>
      </c>
      <c r="R20" s="10" t="s">
        <v>202</v>
      </c>
      <c r="S20" s="11"/>
      <c r="T20" s="1" t="s">
        <v>255</v>
      </c>
      <c r="U20" s="1" t="s">
        <v>255</v>
      </c>
      <c r="V20" s="1" t="s">
        <v>256</v>
      </c>
      <c r="W20" s="12"/>
      <c r="X20" s="11" t="s">
        <v>380</v>
      </c>
      <c r="Y20" s="11" t="s">
        <v>380</v>
      </c>
      <c r="Z20" s="11" t="s">
        <v>380</v>
      </c>
      <c r="AA20" s="11"/>
      <c r="AB20" s="11"/>
      <c r="AC20" s="11"/>
      <c r="AD20" s="11" t="s">
        <v>380</v>
      </c>
      <c r="AE20" s="11" t="s">
        <v>380</v>
      </c>
      <c r="AF20" s="11"/>
    </row>
    <row r="21" spans="1:32" ht="38.25" x14ac:dyDescent="0.35">
      <c r="A21" s="3" t="s">
        <v>60</v>
      </c>
      <c r="B21" s="4" t="s">
        <v>61</v>
      </c>
      <c r="C21" s="5" t="s">
        <v>22</v>
      </c>
      <c r="D21" s="5"/>
      <c r="E21" s="5" t="s">
        <v>143</v>
      </c>
      <c r="F21" s="5" t="s">
        <v>143</v>
      </c>
      <c r="G21" s="5" t="s">
        <v>143</v>
      </c>
      <c r="H21" s="5" t="s">
        <v>19</v>
      </c>
      <c r="I21" s="5" t="s">
        <v>19</v>
      </c>
      <c r="J21" s="5" t="s">
        <v>143</v>
      </c>
      <c r="K21" s="5" t="s">
        <v>19</v>
      </c>
      <c r="L21" s="5"/>
      <c r="M21" s="7"/>
      <c r="N21" s="7">
        <v>46199</v>
      </c>
      <c r="O21" s="8">
        <f t="shared" si="0"/>
        <v>0.5714285714285714</v>
      </c>
      <c r="P21" s="6" t="s">
        <v>209</v>
      </c>
      <c r="Q21" s="10" t="s">
        <v>203</v>
      </c>
      <c r="R21" s="10" t="s">
        <v>204</v>
      </c>
      <c r="S21" s="11"/>
      <c r="T21" s="1" t="s">
        <v>255</v>
      </c>
      <c r="U21" s="1" t="s">
        <v>255</v>
      </c>
      <c r="V21" s="1" t="s">
        <v>256</v>
      </c>
      <c r="W21" s="12"/>
      <c r="X21" s="11" t="s">
        <v>380</v>
      </c>
      <c r="Y21" s="11" t="s">
        <v>380</v>
      </c>
      <c r="Z21" s="11" t="s">
        <v>380</v>
      </c>
      <c r="AA21" s="11"/>
      <c r="AB21" s="11"/>
      <c r="AC21" s="11"/>
      <c r="AD21" s="11" t="s">
        <v>380</v>
      </c>
      <c r="AE21" s="11" t="s">
        <v>380</v>
      </c>
      <c r="AF21" s="11"/>
    </row>
    <row r="22" spans="1:32" ht="38.25" x14ac:dyDescent="0.35">
      <c r="A22" s="3" t="s">
        <v>62</v>
      </c>
      <c r="B22" s="4" t="s">
        <v>63</v>
      </c>
      <c r="C22" s="5" t="s">
        <v>22</v>
      </c>
      <c r="D22" s="5"/>
      <c r="E22" s="5" t="s">
        <v>143</v>
      </c>
      <c r="F22" s="5" t="s">
        <v>143</v>
      </c>
      <c r="G22" s="5" t="s">
        <v>143</v>
      </c>
      <c r="H22" s="5" t="s">
        <v>19</v>
      </c>
      <c r="I22" s="5" t="s">
        <v>19</v>
      </c>
      <c r="J22" s="5" t="s">
        <v>143</v>
      </c>
      <c r="K22" s="5" t="s">
        <v>19</v>
      </c>
      <c r="L22" s="5"/>
      <c r="M22" s="7"/>
      <c r="N22" s="7">
        <v>46199</v>
      </c>
      <c r="O22" s="8">
        <f t="shared" si="0"/>
        <v>0.5714285714285714</v>
      </c>
      <c r="P22" s="6" t="s">
        <v>220</v>
      </c>
      <c r="Q22" s="10" t="s">
        <v>210</v>
      </c>
      <c r="R22" s="10" t="s">
        <v>211</v>
      </c>
      <c r="S22" s="11"/>
      <c r="T22" s="1" t="s">
        <v>255</v>
      </c>
      <c r="U22" s="1" t="s">
        <v>255</v>
      </c>
      <c r="V22" s="1" t="s">
        <v>256</v>
      </c>
      <c r="W22" s="12"/>
      <c r="X22" s="11" t="s">
        <v>380</v>
      </c>
      <c r="Y22" s="11" t="s">
        <v>380</v>
      </c>
      <c r="Z22" s="11" t="s">
        <v>380</v>
      </c>
      <c r="AA22" s="11"/>
      <c r="AB22" s="11"/>
      <c r="AC22" s="11"/>
      <c r="AD22" s="11" t="s">
        <v>380</v>
      </c>
      <c r="AE22" s="11" t="s">
        <v>380</v>
      </c>
      <c r="AF22" s="11"/>
    </row>
    <row r="23" spans="1:32" ht="38.25" x14ac:dyDescent="0.35">
      <c r="A23" s="3" t="s">
        <v>64</v>
      </c>
      <c r="B23" s="4" t="s">
        <v>65</v>
      </c>
      <c r="C23" s="5" t="s">
        <v>22</v>
      </c>
      <c r="D23" s="5"/>
      <c r="E23" s="5" t="s">
        <v>143</v>
      </c>
      <c r="F23" s="5" t="s">
        <v>143</v>
      </c>
      <c r="G23" s="5" t="s">
        <v>143</v>
      </c>
      <c r="H23" s="5" t="s">
        <v>19</v>
      </c>
      <c r="I23" s="5" t="s">
        <v>19</v>
      </c>
      <c r="J23" s="5" t="s">
        <v>143</v>
      </c>
      <c r="K23" s="5" t="s">
        <v>19</v>
      </c>
      <c r="L23" s="5"/>
      <c r="M23" s="7"/>
      <c r="N23" s="7">
        <v>46199</v>
      </c>
      <c r="O23" s="8">
        <f t="shared" si="0"/>
        <v>0.5714285714285714</v>
      </c>
      <c r="P23" s="6" t="s">
        <v>221</v>
      </c>
      <c r="Q23" s="10" t="s">
        <v>212</v>
      </c>
      <c r="R23" s="10" t="s">
        <v>213</v>
      </c>
      <c r="S23" s="11"/>
      <c r="T23" s="1" t="s">
        <v>255</v>
      </c>
      <c r="U23" s="1" t="s">
        <v>255</v>
      </c>
      <c r="V23" s="1" t="s">
        <v>256</v>
      </c>
      <c r="W23" s="12"/>
      <c r="X23" s="11" t="s">
        <v>380</v>
      </c>
      <c r="Y23" s="11" t="s">
        <v>380</v>
      </c>
      <c r="Z23" s="11" t="s">
        <v>380</v>
      </c>
      <c r="AA23" s="11"/>
      <c r="AB23" s="11"/>
      <c r="AC23" s="11"/>
      <c r="AD23" s="11" t="s">
        <v>380</v>
      </c>
      <c r="AE23" s="11" t="s">
        <v>380</v>
      </c>
      <c r="AF23" s="11"/>
    </row>
    <row r="24" spans="1:32" ht="51" x14ac:dyDescent="0.35">
      <c r="A24" s="3" t="s">
        <v>66</v>
      </c>
      <c r="B24" s="4" t="s">
        <v>67</v>
      </c>
      <c r="C24" s="5" t="s">
        <v>52</v>
      </c>
      <c r="D24" s="5"/>
      <c r="E24" s="5" t="s">
        <v>143</v>
      </c>
      <c r="F24" s="5" t="s">
        <v>143</v>
      </c>
      <c r="G24" s="5" t="s">
        <v>143</v>
      </c>
      <c r="H24" s="5" t="s">
        <v>19</v>
      </c>
      <c r="I24" s="5" t="s">
        <v>19</v>
      </c>
      <c r="J24" s="5" t="s">
        <v>143</v>
      </c>
      <c r="K24" s="5" t="s">
        <v>19</v>
      </c>
      <c r="L24" s="5"/>
      <c r="M24" s="7"/>
      <c r="N24" s="7">
        <v>46199</v>
      </c>
      <c r="O24" s="8">
        <f t="shared" si="0"/>
        <v>0.5714285714285714</v>
      </c>
      <c r="P24" s="6" t="s">
        <v>222</v>
      </c>
      <c r="Q24" s="10" t="s">
        <v>214</v>
      </c>
      <c r="R24" s="10" t="s">
        <v>215</v>
      </c>
      <c r="S24" s="11"/>
      <c r="T24" s="1" t="s">
        <v>255</v>
      </c>
      <c r="U24" s="1" t="s">
        <v>255</v>
      </c>
      <c r="V24" s="1" t="s">
        <v>256</v>
      </c>
      <c r="W24" s="12"/>
      <c r="X24" s="11" t="s">
        <v>380</v>
      </c>
      <c r="Y24" s="11" t="s">
        <v>380</v>
      </c>
      <c r="Z24" s="11" t="s">
        <v>380</v>
      </c>
      <c r="AA24" s="11"/>
      <c r="AB24" s="11"/>
      <c r="AC24" s="11"/>
      <c r="AD24" s="11" t="s">
        <v>380</v>
      </c>
      <c r="AE24" s="11" t="s">
        <v>380</v>
      </c>
      <c r="AF24" s="11"/>
    </row>
    <row r="25" spans="1:32" ht="38.25" x14ac:dyDescent="0.35">
      <c r="A25" s="3" t="s">
        <v>68</v>
      </c>
      <c r="B25" s="4" t="s">
        <v>69</v>
      </c>
      <c r="C25" s="5" t="s">
        <v>22</v>
      </c>
      <c r="D25" s="5"/>
      <c r="E25" s="5" t="s">
        <v>143</v>
      </c>
      <c r="F25" s="5" t="s">
        <v>143</v>
      </c>
      <c r="G25" s="5" t="s">
        <v>143</v>
      </c>
      <c r="H25" s="5" t="s">
        <v>19</v>
      </c>
      <c r="I25" s="5" t="s">
        <v>19</v>
      </c>
      <c r="J25" s="5" t="s">
        <v>143</v>
      </c>
      <c r="K25" s="5" t="s">
        <v>19</v>
      </c>
      <c r="L25" s="5"/>
      <c r="M25" s="7"/>
      <c r="N25" s="7">
        <v>46199</v>
      </c>
      <c r="O25" s="8">
        <f t="shared" si="0"/>
        <v>0.5714285714285714</v>
      </c>
      <c r="P25" s="6" t="s">
        <v>223</v>
      </c>
      <c r="Q25" s="10" t="s">
        <v>216</v>
      </c>
      <c r="R25" s="10" t="s">
        <v>217</v>
      </c>
      <c r="S25" s="11"/>
      <c r="T25" s="1" t="s">
        <v>255</v>
      </c>
      <c r="U25" s="1" t="s">
        <v>255</v>
      </c>
      <c r="V25" s="1" t="s">
        <v>256</v>
      </c>
      <c r="W25" s="12"/>
      <c r="X25" s="11" t="s">
        <v>380</v>
      </c>
      <c r="Y25" s="11" t="s">
        <v>380</v>
      </c>
      <c r="Z25" s="11" t="s">
        <v>380</v>
      </c>
      <c r="AA25" s="11"/>
      <c r="AB25" s="11"/>
      <c r="AC25" s="11"/>
      <c r="AD25" s="11" t="s">
        <v>380</v>
      </c>
      <c r="AE25" s="11" t="s">
        <v>380</v>
      </c>
      <c r="AF25" s="11"/>
    </row>
    <row r="26" spans="1:32" ht="51" x14ac:dyDescent="0.35">
      <c r="A26" s="3" t="s">
        <v>70</v>
      </c>
      <c r="B26" s="4" t="s">
        <v>71</v>
      </c>
      <c r="C26" s="5" t="s">
        <v>57</v>
      </c>
      <c r="D26" s="5"/>
      <c r="E26" s="5" t="s">
        <v>143</v>
      </c>
      <c r="F26" s="5" t="s">
        <v>143</v>
      </c>
      <c r="G26" s="5" t="s">
        <v>143</v>
      </c>
      <c r="H26" s="5" t="s">
        <v>19</v>
      </c>
      <c r="I26" s="5" t="s">
        <v>19</v>
      </c>
      <c r="J26" s="5" t="s">
        <v>179</v>
      </c>
      <c r="K26" s="5" t="s">
        <v>19</v>
      </c>
      <c r="L26" s="5"/>
      <c r="M26" s="7"/>
      <c r="N26" s="7">
        <v>46199</v>
      </c>
      <c r="O26" s="8">
        <f t="shared" si="0"/>
        <v>0.42857142857142855</v>
      </c>
      <c r="P26" s="6" t="s">
        <v>224</v>
      </c>
      <c r="Q26" s="10" t="s">
        <v>218</v>
      </c>
      <c r="R26" s="10" t="s">
        <v>219</v>
      </c>
      <c r="S26" s="11"/>
      <c r="T26" s="1" t="s">
        <v>255</v>
      </c>
      <c r="U26" s="1" t="s">
        <v>255</v>
      </c>
      <c r="V26" s="1" t="s">
        <v>256</v>
      </c>
      <c r="W26" s="12"/>
      <c r="X26" s="11" t="s">
        <v>380</v>
      </c>
      <c r="Y26" s="11" t="s">
        <v>380</v>
      </c>
      <c r="Z26" s="11" t="s">
        <v>380</v>
      </c>
      <c r="AA26" s="11"/>
      <c r="AB26" s="11"/>
      <c r="AC26" s="11"/>
      <c r="AD26" s="11" t="s">
        <v>380</v>
      </c>
      <c r="AE26" s="11" t="s">
        <v>380</v>
      </c>
      <c r="AF26" s="11"/>
    </row>
    <row r="27" spans="1:32" ht="51" x14ac:dyDescent="0.35">
      <c r="A27" s="3" t="s">
        <v>72</v>
      </c>
      <c r="B27" s="4" t="s">
        <v>73</v>
      </c>
      <c r="C27" s="5" t="s">
        <v>22</v>
      </c>
      <c r="D27" s="5"/>
      <c r="E27" s="5" t="s">
        <v>143</v>
      </c>
      <c r="F27" s="5" t="s">
        <v>143</v>
      </c>
      <c r="G27" s="5" t="s">
        <v>143</v>
      </c>
      <c r="H27" s="5" t="s">
        <v>19</v>
      </c>
      <c r="I27" s="5" t="s">
        <v>19</v>
      </c>
      <c r="J27" s="5" t="s">
        <v>143</v>
      </c>
      <c r="K27" s="5" t="s">
        <v>19</v>
      </c>
      <c r="L27" s="5"/>
      <c r="M27" s="7"/>
      <c r="N27" s="7">
        <v>46198</v>
      </c>
      <c r="O27" s="8">
        <f t="shared" si="0"/>
        <v>0.5714285714285714</v>
      </c>
      <c r="P27" s="6" t="s">
        <v>178</v>
      </c>
      <c r="Q27" s="10" t="s">
        <v>157</v>
      </c>
      <c r="R27" s="10" t="s">
        <v>158</v>
      </c>
      <c r="S27" s="11"/>
      <c r="T27" s="1" t="s">
        <v>255</v>
      </c>
      <c r="U27" s="1" t="s">
        <v>255</v>
      </c>
      <c r="V27" s="1" t="s">
        <v>256</v>
      </c>
      <c r="W27" s="12">
        <v>46209</v>
      </c>
      <c r="X27" s="11" t="s">
        <v>380</v>
      </c>
      <c r="Y27" s="11" t="s">
        <v>380</v>
      </c>
      <c r="Z27" s="11" t="s">
        <v>380</v>
      </c>
      <c r="AA27" s="11"/>
      <c r="AB27" s="11"/>
      <c r="AC27" s="11"/>
      <c r="AD27" s="11" t="s">
        <v>380</v>
      </c>
      <c r="AE27" s="11" t="s">
        <v>380</v>
      </c>
      <c r="AF27" s="11"/>
    </row>
    <row r="28" spans="1:32" ht="38.25" x14ac:dyDescent="0.35">
      <c r="A28" s="3" t="s">
        <v>74</v>
      </c>
      <c r="B28" s="4" t="s">
        <v>75</v>
      </c>
      <c r="C28" s="5" t="s">
        <v>22</v>
      </c>
      <c r="D28" s="5"/>
      <c r="E28" s="5" t="s">
        <v>143</v>
      </c>
      <c r="F28" s="5" t="s">
        <v>143</v>
      </c>
      <c r="G28" s="5" t="s">
        <v>143</v>
      </c>
      <c r="H28" s="5" t="s">
        <v>19</v>
      </c>
      <c r="I28" s="5" t="s">
        <v>19</v>
      </c>
      <c r="J28" s="5" t="s">
        <v>143</v>
      </c>
      <c r="K28" s="5" t="s">
        <v>19</v>
      </c>
      <c r="L28" s="5"/>
      <c r="M28" s="7"/>
      <c r="N28" s="7">
        <v>46201</v>
      </c>
      <c r="O28" s="8">
        <f t="shared" si="0"/>
        <v>0.5714285714285714</v>
      </c>
      <c r="P28" s="6" t="s">
        <v>243</v>
      </c>
      <c r="Q28" s="10" t="s">
        <v>225</v>
      </c>
      <c r="R28" s="10" t="s">
        <v>226</v>
      </c>
      <c r="S28" s="11"/>
      <c r="T28" s="1" t="s">
        <v>255</v>
      </c>
      <c r="U28" s="1" t="s">
        <v>255</v>
      </c>
      <c r="V28" s="1" t="s">
        <v>256</v>
      </c>
      <c r="W28" s="12">
        <v>46206</v>
      </c>
      <c r="X28" s="11" t="s">
        <v>380</v>
      </c>
      <c r="Y28" s="11" t="s">
        <v>380</v>
      </c>
      <c r="Z28" s="11" t="s">
        <v>380</v>
      </c>
      <c r="AA28" s="11"/>
      <c r="AB28" s="11"/>
      <c r="AC28" s="11"/>
      <c r="AD28" s="11" t="s">
        <v>380</v>
      </c>
      <c r="AE28" s="11" t="s">
        <v>380</v>
      </c>
      <c r="AF28" s="11"/>
    </row>
    <row r="29" spans="1:32" ht="51" x14ac:dyDescent="0.35">
      <c r="A29" s="3" t="s">
        <v>76</v>
      </c>
      <c r="B29" s="4" t="s">
        <v>77</v>
      </c>
      <c r="C29" s="5" t="s">
        <v>18</v>
      </c>
      <c r="D29" s="5"/>
      <c r="E29" s="5" t="s">
        <v>143</v>
      </c>
      <c r="F29" s="5" t="s">
        <v>143</v>
      </c>
      <c r="G29" s="5" t="s">
        <v>143</v>
      </c>
      <c r="H29" s="5" t="s">
        <v>19</v>
      </c>
      <c r="I29" s="5" t="s">
        <v>19</v>
      </c>
      <c r="J29" s="5" t="s">
        <v>143</v>
      </c>
      <c r="K29" s="5" t="s">
        <v>19</v>
      </c>
      <c r="L29" s="5"/>
      <c r="M29" s="7"/>
      <c r="N29" s="7">
        <v>46201</v>
      </c>
      <c r="O29" s="8">
        <f t="shared" si="0"/>
        <v>0.5714285714285714</v>
      </c>
      <c r="P29" s="6" t="s">
        <v>244</v>
      </c>
      <c r="Q29" s="10" t="s">
        <v>227</v>
      </c>
      <c r="R29" s="10" t="s">
        <v>228</v>
      </c>
      <c r="S29" s="11"/>
      <c r="T29" s="1" t="s">
        <v>255</v>
      </c>
      <c r="U29" s="1" t="s">
        <v>255</v>
      </c>
      <c r="V29" s="1" t="s">
        <v>256</v>
      </c>
      <c r="W29" s="12">
        <v>46206</v>
      </c>
      <c r="X29" s="11" t="s">
        <v>380</v>
      </c>
      <c r="Y29" s="11" t="s">
        <v>380</v>
      </c>
      <c r="Z29" s="11" t="s">
        <v>380</v>
      </c>
      <c r="AA29" s="11"/>
      <c r="AB29" s="11"/>
      <c r="AC29" s="11"/>
      <c r="AD29" s="11" t="s">
        <v>380</v>
      </c>
      <c r="AE29" s="11" t="s">
        <v>380</v>
      </c>
      <c r="AF29" s="11"/>
    </row>
    <row r="30" spans="1:32" ht="51" x14ac:dyDescent="0.35">
      <c r="A30" s="3" t="s">
        <v>78</v>
      </c>
      <c r="B30" s="4" t="s">
        <v>79</v>
      </c>
      <c r="C30" s="5" t="s">
        <v>22</v>
      </c>
      <c r="D30" s="5"/>
      <c r="E30" s="5" t="s">
        <v>143</v>
      </c>
      <c r="F30" s="5" t="s">
        <v>143</v>
      </c>
      <c r="G30" s="5" t="s">
        <v>143</v>
      </c>
      <c r="H30" s="5" t="s">
        <v>19</v>
      </c>
      <c r="I30" s="5" t="s">
        <v>19</v>
      </c>
      <c r="J30" s="5" t="s">
        <v>143</v>
      </c>
      <c r="K30" s="5" t="s">
        <v>19</v>
      </c>
      <c r="L30" s="5"/>
      <c r="M30" s="7"/>
      <c r="N30" s="7">
        <v>46201</v>
      </c>
      <c r="O30" s="8">
        <f t="shared" si="0"/>
        <v>0.5714285714285714</v>
      </c>
      <c r="P30" s="6" t="s">
        <v>245</v>
      </c>
      <c r="Q30" s="10" t="s">
        <v>229</v>
      </c>
      <c r="R30" s="10" t="s">
        <v>230</v>
      </c>
      <c r="S30" s="11"/>
      <c r="T30" s="1" t="s">
        <v>255</v>
      </c>
      <c r="U30" s="1" t="s">
        <v>255</v>
      </c>
      <c r="V30" s="1" t="s">
        <v>256</v>
      </c>
      <c r="W30" s="12">
        <v>46206</v>
      </c>
      <c r="X30" s="11" t="s">
        <v>380</v>
      </c>
      <c r="Y30" s="11" t="s">
        <v>380</v>
      </c>
      <c r="Z30" s="11" t="s">
        <v>380</v>
      </c>
      <c r="AA30" s="11"/>
      <c r="AB30" s="11"/>
      <c r="AC30" s="11"/>
      <c r="AD30" s="11" t="s">
        <v>380</v>
      </c>
      <c r="AE30" s="11" t="s">
        <v>380</v>
      </c>
      <c r="AF30" s="11"/>
    </row>
    <row r="31" spans="1:32" ht="51" x14ac:dyDescent="0.35">
      <c r="A31" s="3" t="s">
        <v>80</v>
      </c>
      <c r="B31" s="4" t="s">
        <v>81</v>
      </c>
      <c r="C31" s="5" t="s">
        <v>22</v>
      </c>
      <c r="D31" s="5"/>
      <c r="E31" s="5" t="s">
        <v>143</v>
      </c>
      <c r="F31" s="5" t="s">
        <v>143</v>
      </c>
      <c r="G31" s="5" t="s">
        <v>143</v>
      </c>
      <c r="H31" s="5" t="s">
        <v>19</v>
      </c>
      <c r="I31" s="5" t="s">
        <v>19</v>
      </c>
      <c r="J31" s="5" t="s">
        <v>143</v>
      </c>
      <c r="K31" s="5" t="s">
        <v>19</v>
      </c>
      <c r="L31" s="5"/>
      <c r="M31" s="7"/>
      <c r="N31" s="7">
        <v>46201</v>
      </c>
      <c r="O31" s="8">
        <f t="shared" si="0"/>
        <v>0.5714285714285714</v>
      </c>
      <c r="P31" s="6" t="s">
        <v>246</v>
      </c>
      <c r="Q31" s="10" t="s">
        <v>231</v>
      </c>
      <c r="R31" s="10" t="s">
        <v>232</v>
      </c>
      <c r="S31" s="11"/>
      <c r="T31" s="1" t="s">
        <v>255</v>
      </c>
      <c r="U31" s="1" t="s">
        <v>255</v>
      </c>
      <c r="V31" s="1" t="s">
        <v>256</v>
      </c>
      <c r="W31" s="12">
        <v>46206</v>
      </c>
      <c r="X31" s="11" t="s">
        <v>380</v>
      </c>
      <c r="Y31" s="11" t="s">
        <v>380</v>
      </c>
      <c r="Z31" s="11" t="s">
        <v>380</v>
      </c>
      <c r="AA31" s="11"/>
      <c r="AB31" s="11"/>
      <c r="AC31" s="11"/>
      <c r="AD31" s="11" t="s">
        <v>380</v>
      </c>
      <c r="AE31" s="11" t="s">
        <v>380</v>
      </c>
      <c r="AF31" s="11"/>
    </row>
    <row r="32" spans="1:32" ht="51" x14ac:dyDescent="0.35">
      <c r="A32" s="3" t="s">
        <v>82</v>
      </c>
      <c r="B32" s="4" t="s">
        <v>83</v>
      </c>
      <c r="C32" s="5" t="s">
        <v>18</v>
      </c>
      <c r="D32" s="5"/>
      <c r="E32" s="5" t="s">
        <v>143</v>
      </c>
      <c r="F32" s="5" t="s">
        <v>143</v>
      </c>
      <c r="G32" s="5" t="s">
        <v>143</v>
      </c>
      <c r="H32" s="5" t="s">
        <v>19</v>
      </c>
      <c r="I32" s="5" t="s">
        <v>19</v>
      </c>
      <c r="J32" s="5" t="s">
        <v>143</v>
      </c>
      <c r="K32" s="5" t="s">
        <v>19</v>
      </c>
      <c r="L32" s="5"/>
      <c r="M32" s="7"/>
      <c r="N32" s="7">
        <v>46202</v>
      </c>
      <c r="O32" s="8">
        <f t="shared" si="0"/>
        <v>0.5714285714285714</v>
      </c>
      <c r="P32" s="6" t="s">
        <v>250</v>
      </c>
      <c r="Q32" s="10" t="s">
        <v>233</v>
      </c>
      <c r="R32" s="10" t="s">
        <v>234</v>
      </c>
      <c r="S32" s="11"/>
      <c r="T32" s="1" t="s">
        <v>255</v>
      </c>
      <c r="U32" s="1" t="s">
        <v>255</v>
      </c>
      <c r="V32" s="1" t="s">
        <v>256</v>
      </c>
      <c r="W32" s="12">
        <v>46206</v>
      </c>
      <c r="X32" s="11" t="s">
        <v>380</v>
      </c>
      <c r="Y32" s="11" t="s">
        <v>380</v>
      </c>
      <c r="Z32" s="11" t="s">
        <v>380</v>
      </c>
      <c r="AA32" s="11"/>
      <c r="AB32" s="11"/>
      <c r="AC32" s="11"/>
      <c r="AD32" s="11" t="s">
        <v>380</v>
      </c>
      <c r="AE32" s="11" t="s">
        <v>380</v>
      </c>
      <c r="AF32" s="11"/>
    </row>
    <row r="33" spans="1:32" ht="38.25" x14ac:dyDescent="0.35">
      <c r="A33" s="3" t="s">
        <v>84</v>
      </c>
      <c r="B33" s="4" t="s">
        <v>85</v>
      </c>
      <c r="C33" s="5" t="s">
        <v>22</v>
      </c>
      <c r="D33" s="5"/>
      <c r="E33" s="5" t="s">
        <v>143</v>
      </c>
      <c r="F33" s="5" t="s">
        <v>143</v>
      </c>
      <c r="G33" s="5" t="s">
        <v>143</v>
      </c>
      <c r="H33" s="5" t="s">
        <v>19</v>
      </c>
      <c r="I33" s="5" t="s">
        <v>19</v>
      </c>
      <c r="J33" s="5" t="s">
        <v>143</v>
      </c>
      <c r="K33" s="5" t="s">
        <v>19</v>
      </c>
      <c r="L33" s="5"/>
      <c r="M33" s="7"/>
      <c r="N33" s="7">
        <v>46202</v>
      </c>
      <c r="O33" s="8">
        <f t="shared" si="0"/>
        <v>0.5714285714285714</v>
      </c>
      <c r="P33" s="6" t="s">
        <v>251</v>
      </c>
      <c r="Q33" s="10" t="s">
        <v>235</v>
      </c>
      <c r="R33" s="10" t="s">
        <v>236</v>
      </c>
      <c r="S33" s="11"/>
      <c r="T33" s="1" t="s">
        <v>255</v>
      </c>
      <c r="U33" s="1" t="s">
        <v>255</v>
      </c>
      <c r="V33" s="1" t="s">
        <v>256</v>
      </c>
      <c r="W33" s="12">
        <v>46206</v>
      </c>
      <c r="X33" s="11" t="s">
        <v>380</v>
      </c>
      <c r="Y33" s="11" t="s">
        <v>380</v>
      </c>
      <c r="Z33" s="11" t="s">
        <v>380</v>
      </c>
      <c r="AA33" s="11"/>
      <c r="AB33" s="11"/>
      <c r="AC33" s="11"/>
      <c r="AD33" s="11" t="s">
        <v>380</v>
      </c>
      <c r="AE33" s="11" t="s">
        <v>380</v>
      </c>
      <c r="AF33" s="11"/>
    </row>
    <row r="34" spans="1:32" ht="38.25" x14ac:dyDescent="0.35">
      <c r="A34" s="3" t="s">
        <v>86</v>
      </c>
      <c r="B34" s="4" t="s">
        <v>87</v>
      </c>
      <c r="C34" s="5" t="s">
        <v>88</v>
      </c>
      <c r="D34" s="5"/>
      <c r="E34" s="5" t="s">
        <v>143</v>
      </c>
      <c r="F34" s="5" t="s">
        <v>143</v>
      </c>
      <c r="G34" s="5" t="s">
        <v>143</v>
      </c>
      <c r="H34" s="5" t="s">
        <v>19</v>
      </c>
      <c r="I34" s="5" t="s">
        <v>19</v>
      </c>
      <c r="J34" s="5" t="s">
        <v>179</v>
      </c>
      <c r="K34" s="5" t="s">
        <v>19</v>
      </c>
      <c r="L34" s="5"/>
      <c r="M34" s="7"/>
      <c r="N34" s="7">
        <v>46202</v>
      </c>
      <c r="O34" s="8">
        <f t="shared" ref="O34:O60" si="1">COUNTIF(E34:K34,"Complete")/7</f>
        <v>0.42857142857142855</v>
      </c>
      <c r="P34" s="6" t="s">
        <v>249</v>
      </c>
      <c r="Q34" s="10" t="s">
        <v>237</v>
      </c>
      <c r="R34" s="10" t="s">
        <v>238</v>
      </c>
      <c r="S34" s="11"/>
      <c r="T34" s="1" t="s">
        <v>255</v>
      </c>
      <c r="U34" s="1" t="s">
        <v>179</v>
      </c>
      <c r="V34" s="1" t="s">
        <v>256</v>
      </c>
      <c r="W34" s="12">
        <v>46206</v>
      </c>
      <c r="X34" s="11" t="s">
        <v>380</v>
      </c>
      <c r="Y34" s="11" t="s">
        <v>380</v>
      </c>
      <c r="Z34" s="11"/>
      <c r="AA34" s="11"/>
      <c r="AB34" s="11"/>
      <c r="AC34" s="11"/>
      <c r="AD34" s="11" t="s">
        <v>380</v>
      </c>
      <c r="AE34" s="11" t="s">
        <v>380</v>
      </c>
      <c r="AF34" s="11"/>
    </row>
    <row r="35" spans="1:32" ht="51" x14ac:dyDescent="0.35">
      <c r="A35" s="3" t="s">
        <v>89</v>
      </c>
      <c r="B35" s="4" t="s">
        <v>90</v>
      </c>
      <c r="C35" s="5" t="s">
        <v>88</v>
      </c>
      <c r="D35" s="5"/>
      <c r="E35" s="5" t="s">
        <v>143</v>
      </c>
      <c r="F35" s="5" t="s">
        <v>143</v>
      </c>
      <c r="G35" s="5" t="s">
        <v>143</v>
      </c>
      <c r="H35" s="5" t="s">
        <v>19</v>
      </c>
      <c r="I35" s="5" t="s">
        <v>19</v>
      </c>
      <c r="J35" s="5" t="s">
        <v>143</v>
      </c>
      <c r="K35" s="5" t="s">
        <v>19</v>
      </c>
      <c r="L35" s="5"/>
      <c r="M35" s="7"/>
      <c r="N35" s="7">
        <v>46202</v>
      </c>
      <c r="O35" s="8">
        <f t="shared" si="1"/>
        <v>0.5714285714285714</v>
      </c>
      <c r="P35" s="6" t="s">
        <v>247</v>
      </c>
      <c r="Q35" s="10" t="s">
        <v>239</v>
      </c>
      <c r="R35" s="10" t="s">
        <v>240</v>
      </c>
      <c r="S35" s="11"/>
      <c r="T35" s="1" t="s">
        <v>255</v>
      </c>
      <c r="U35" s="1" t="s">
        <v>255</v>
      </c>
      <c r="V35" s="1" t="s">
        <v>256</v>
      </c>
      <c r="W35" s="12">
        <v>46206</v>
      </c>
      <c r="X35" s="11" t="s">
        <v>380</v>
      </c>
      <c r="Y35" s="11" t="s">
        <v>380</v>
      </c>
      <c r="Z35" s="11" t="s">
        <v>380</v>
      </c>
      <c r="AA35" s="11"/>
      <c r="AB35" s="11"/>
      <c r="AC35" s="11"/>
      <c r="AD35" s="11" t="s">
        <v>380</v>
      </c>
      <c r="AE35" s="11" t="s">
        <v>380</v>
      </c>
      <c r="AF35" s="11"/>
    </row>
    <row r="36" spans="1:32" ht="63.75" x14ac:dyDescent="0.35">
      <c r="A36" s="3" t="s">
        <v>91</v>
      </c>
      <c r="B36" s="4" t="s">
        <v>92</v>
      </c>
      <c r="C36" s="5" t="s">
        <v>22</v>
      </c>
      <c r="D36" s="5"/>
      <c r="E36" s="5" t="s">
        <v>143</v>
      </c>
      <c r="F36" s="5" t="s">
        <v>143</v>
      </c>
      <c r="G36" s="5" t="s">
        <v>143</v>
      </c>
      <c r="H36" s="5" t="s">
        <v>19</v>
      </c>
      <c r="I36" s="5" t="s">
        <v>19</v>
      </c>
      <c r="J36" s="5" t="s">
        <v>143</v>
      </c>
      <c r="K36" s="5" t="s">
        <v>19</v>
      </c>
      <c r="L36" s="5"/>
      <c r="M36" s="7"/>
      <c r="N36" s="7">
        <v>46202</v>
      </c>
      <c r="O36" s="8">
        <f t="shared" si="1"/>
        <v>0.5714285714285714</v>
      </c>
      <c r="P36" s="6" t="s">
        <v>248</v>
      </c>
      <c r="Q36" s="10" t="s">
        <v>241</v>
      </c>
      <c r="R36" s="10" t="s">
        <v>242</v>
      </c>
      <c r="S36" s="11"/>
      <c r="T36" s="1" t="s">
        <v>255</v>
      </c>
      <c r="U36" s="1" t="s">
        <v>255</v>
      </c>
      <c r="V36" s="1" t="s">
        <v>256</v>
      </c>
      <c r="W36" s="12">
        <v>46206</v>
      </c>
      <c r="X36" s="11" t="s">
        <v>380</v>
      </c>
      <c r="Y36" s="11" t="s">
        <v>380</v>
      </c>
      <c r="Z36" s="11" t="s">
        <v>380</v>
      </c>
      <c r="AA36" s="11"/>
      <c r="AB36" s="11"/>
      <c r="AC36" s="11"/>
      <c r="AD36" s="11" t="s">
        <v>380</v>
      </c>
      <c r="AE36" s="11" t="s">
        <v>380</v>
      </c>
      <c r="AF36" s="11"/>
    </row>
    <row r="37" spans="1:32" ht="51" x14ac:dyDescent="0.35">
      <c r="A37" s="3" t="s">
        <v>93</v>
      </c>
      <c r="B37" s="4" t="s">
        <v>94</v>
      </c>
      <c r="C37" s="5" t="s">
        <v>52</v>
      </c>
      <c r="D37" s="5"/>
      <c r="E37" s="5" t="s">
        <v>143</v>
      </c>
      <c r="F37" s="5" t="s">
        <v>143</v>
      </c>
      <c r="G37" s="5" t="s">
        <v>143</v>
      </c>
      <c r="H37" s="5" t="s">
        <v>19</v>
      </c>
      <c r="I37" s="5" t="s">
        <v>19</v>
      </c>
      <c r="J37" s="5" t="s">
        <v>143</v>
      </c>
      <c r="K37" s="5" t="s">
        <v>19</v>
      </c>
      <c r="L37" s="5"/>
      <c r="M37" s="7"/>
      <c r="N37" s="7">
        <v>46211</v>
      </c>
      <c r="O37" s="8">
        <f t="shared" si="1"/>
        <v>0.5714285714285714</v>
      </c>
      <c r="P37" s="6" t="s">
        <v>260</v>
      </c>
      <c r="Q37" s="10" t="s">
        <v>258</v>
      </c>
      <c r="R37" s="10" t="s">
        <v>259</v>
      </c>
      <c r="S37" s="11"/>
      <c r="T37" s="1" t="s">
        <v>255</v>
      </c>
      <c r="U37" s="1" t="s">
        <v>255</v>
      </c>
      <c r="V37" s="1" t="s">
        <v>256</v>
      </c>
      <c r="W37" s="12">
        <v>46211</v>
      </c>
      <c r="X37" s="11" t="s">
        <v>380</v>
      </c>
      <c r="Y37" s="11" t="s">
        <v>380</v>
      </c>
      <c r="Z37" s="11" t="s">
        <v>380</v>
      </c>
      <c r="AA37" s="11"/>
      <c r="AB37" s="11"/>
      <c r="AC37" s="11"/>
      <c r="AD37" s="11" t="s">
        <v>380</v>
      </c>
      <c r="AE37" s="11" t="s">
        <v>380</v>
      </c>
      <c r="AF37" s="11"/>
    </row>
    <row r="38" spans="1:32" ht="51" x14ac:dyDescent="0.35">
      <c r="A38" s="3" t="s">
        <v>95</v>
      </c>
      <c r="B38" s="4" t="s">
        <v>96</v>
      </c>
      <c r="C38" s="5" t="s">
        <v>22</v>
      </c>
      <c r="D38" s="5"/>
      <c r="E38" s="5" t="s">
        <v>143</v>
      </c>
      <c r="F38" s="5" t="s">
        <v>143</v>
      </c>
      <c r="G38" s="5" t="s">
        <v>143</v>
      </c>
      <c r="H38" s="5" t="s">
        <v>19</v>
      </c>
      <c r="I38" s="5" t="s">
        <v>19</v>
      </c>
      <c r="J38" s="5" t="s">
        <v>143</v>
      </c>
      <c r="K38" s="5" t="s">
        <v>19</v>
      </c>
      <c r="L38" s="5"/>
      <c r="M38" s="7"/>
      <c r="N38" s="7">
        <v>46211</v>
      </c>
      <c r="O38" s="8">
        <f t="shared" si="1"/>
        <v>0.5714285714285714</v>
      </c>
      <c r="P38" s="6" t="s">
        <v>263</v>
      </c>
      <c r="Q38" s="10" t="s">
        <v>261</v>
      </c>
      <c r="R38" s="10" t="s">
        <v>262</v>
      </c>
      <c r="S38" s="11"/>
      <c r="T38" s="1" t="s">
        <v>255</v>
      </c>
      <c r="U38" s="1" t="s">
        <v>255</v>
      </c>
      <c r="V38" s="1" t="s">
        <v>256</v>
      </c>
      <c r="W38" s="12">
        <v>46211</v>
      </c>
      <c r="X38" s="11" t="s">
        <v>380</v>
      </c>
      <c r="Y38" s="11" t="s">
        <v>380</v>
      </c>
      <c r="Z38" s="11" t="s">
        <v>380</v>
      </c>
      <c r="AA38" s="11"/>
      <c r="AB38" s="11"/>
      <c r="AC38" s="11"/>
      <c r="AD38" s="11" t="s">
        <v>380</v>
      </c>
      <c r="AE38" s="11" t="s">
        <v>380</v>
      </c>
      <c r="AF38" s="11"/>
    </row>
    <row r="39" spans="1:32" ht="51" x14ac:dyDescent="0.35">
      <c r="A39" s="3" t="s">
        <v>97</v>
      </c>
      <c r="B39" s="4" t="s">
        <v>98</v>
      </c>
      <c r="C39" s="5" t="s">
        <v>22</v>
      </c>
      <c r="D39" s="5"/>
      <c r="E39" s="5" t="s">
        <v>143</v>
      </c>
      <c r="F39" s="5" t="s">
        <v>143</v>
      </c>
      <c r="G39" s="5" t="s">
        <v>143</v>
      </c>
      <c r="H39" s="5" t="s">
        <v>19</v>
      </c>
      <c r="I39" s="5" t="s">
        <v>19</v>
      </c>
      <c r="J39" s="5" t="s">
        <v>143</v>
      </c>
      <c r="K39" s="5" t="s">
        <v>19</v>
      </c>
      <c r="L39" s="5"/>
      <c r="M39" s="7"/>
      <c r="N39" s="7">
        <v>46212</v>
      </c>
      <c r="O39" s="8">
        <f t="shared" si="1"/>
        <v>0.5714285714285714</v>
      </c>
      <c r="P39" s="6" t="s">
        <v>266</v>
      </c>
      <c r="Q39" s="10" t="s">
        <v>264</v>
      </c>
      <c r="R39" s="10" t="s">
        <v>265</v>
      </c>
      <c r="S39" s="11"/>
      <c r="T39" s="1" t="s">
        <v>255</v>
      </c>
      <c r="U39" s="1" t="s">
        <v>255</v>
      </c>
      <c r="V39" s="1" t="s">
        <v>256</v>
      </c>
      <c r="W39" s="12">
        <v>46212</v>
      </c>
      <c r="X39" s="11" t="s">
        <v>380</v>
      </c>
      <c r="Y39" s="11" t="s">
        <v>380</v>
      </c>
      <c r="Z39" s="11" t="s">
        <v>380</v>
      </c>
      <c r="AA39" s="11"/>
      <c r="AB39" s="11"/>
      <c r="AC39" s="11"/>
      <c r="AD39" s="11" t="s">
        <v>380</v>
      </c>
      <c r="AE39" s="11" t="s">
        <v>380</v>
      </c>
      <c r="AF39" s="11"/>
    </row>
    <row r="40" spans="1:32" ht="51" x14ac:dyDescent="0.35">
      <c r="A40" s="3" t="s">
        <v>99</v>
      </c>
      <c r="B40" s="4" t="s">
        <v>100</v>
      </c>
      <c r="C40" s="5" t="s">
        <v>22</v>
      </c>
      <c r="D40" s="5"/>
      <c r="E40" s="5" t="s">
        <v>143</v>
      </c>
      <c r="F40" s="5" t="s">
        <v>143</v>
      </c>
      <c r="G40" s="5" t="s">
        <v>143</v>
      </c>
      <c r="H40" s="5" t="s">
        <v>19</v>
      </c>
      <c r="I40" s="5" t="s">
        <v>19</v>
      </c>
      <c r="J40" s="5" t="s">
        <v>143</v>
      </c>
      <c r="K40" s="5" t="s">
        <v>19</v>
      </c>
      <c r="L40" s="5"/>
      <c r="M40" s="7"/>
      <c r="N40" s="7">
        <v>46212</v>
      </c>
      <c r="O40" s="8">
        <f t="shared" si="1"/>
        <v>0.5714285714285714</v>
      </c>
      <c r="P40" s="6" t="s">
        <v>269</v>
      </c>
      <c r="Q40" s="10" t="s">
        <v>267</v>
      </c>
      <c r="R40" s="10" t="s">
        <v>268</v>
      </c>
      <c r="S40" s="11"/>
      <c r="T40" s="1" t="s">
        <v>255</v>
      </c>
      <c r="U40" s="1" t="s">
        <v>255</v>
      </c>
      <c r="V40" s="1" t="s">
        <v>256</v>
      </c>
      <c r="W40" s="12">
        <v>46212</v>
      </c>
      <c r="X40" s="11" t="s">
        <v>380</v>
      </c>
      <c r="Y40" s="11" t="s">
        <v>380</v>
      </c>
      <c r="Z40" s="11" t="s">
        <v>380</v>
      </c>
      <c r="AA40" s="11"/>
      <c r="AB40" s="11"/>
      <c r="AC40" s="11"/>
      <c r="AD40" s="11" t="s">
        <v>380</v>
      </c>
      <c r="AE40" s="11" t="s">
        <v>380</v>
      </c>
      <c r="AF40" s="11"/>
    </row>
    <row r="41" spans="1:32" ht="38.25" x14ac:dyDescent="0.35">
      <c r="A41" s="3" t="s">
        <v>101</v>
      </c>
      <c r="B41" s="4" t="s">
        <v>102</v>
      </c>
      <c r="C41" s="5" t="s">
        <v>18</v>
      </c>
      <c r="D41" s="5"/>
      <c r="E41" s="5" t="s">
        <v>143</v>
      </c>
      <c r="F41" s="5" t="s">
        <v>143</v>
      </c>
      <c r="G41" s="5" t="s">
        <v>143</v>
      </c>
      <c r="H41" s="5" t="s">
        <v>19</v>
      </c>
      <c r="I41" s="5" t="s">
        <v>19</v>
      </c>
      <c r="J41" s="5" t="s">
        <v>143</v>
      </c>
      <c r="K41" s="5" t="s">
        <v>19</v>
      </c>
      <c r="L41" s="5"/>
      <c r="M41" s="7"/>
      <c r="N41" s="7">
        <v>46213</v>
      </c>
      <c r="O41" s="8">
        <f t="shared" si="1"/>
        <v>0.5714285714285714</v>
      </c>
      <c r="P41" s="6" t="s">
        <v>272</v>
      </c>
      <c r="Q41" s="10" t="s">
        <v>270</v>
      </c>
      <c r="R41" s="10" t="s">
        <v>271</v>
      </c>
      <c r="S41" s="11"/>
      <c r="T41" s="1" t="s">
        <v>255</v>
      </c>
      <c r="U41" s="1" t="s">
        <v>255</v>
      </c>
      <c r="V41" s="1" t="s">
        <v>256</v>
      </c>
      <c r="W41" s="12">
        <v>46213</v>
      </c>
      <c r="X41" s="11" t="s">
        <v>380</v>
      </c>
      <c r="Y41" s="11" t="s">
        <v>380</v>
      </c>
      <c r="Z41" s="11" t="s">
        <v>380</v>
      </c>
      <c r="AA41" s="11"/>
      <c r="AB41" s="11"/>
      <c r="AC41" s="11"/>
      <c r="AD41" s="11" t="s">
        <v>380</v>
      </c>
      <c r="AE41" s="11" t="s">
        <v>380</v>
      </c>
      <c r="AF41" s="11"/>
    </row>
    <row r="42" spans="1:32" ht="38.25" x14ac:dyDescent="0.35">
      <c r="A42" s="3" t="s">
        <v>103</v>
      </c>
      <c r="B42" s="4" t="s">
        <v>104</v>
      </c>
      <c r="C42" s="5" t="s">
        <v>22</v>
      </c>
      <c r="D42" s="5"/>
      <c r="E42" s="5" t="s">
        <v>143</v>
      </c>
      <c r="F42" s="5" t="s">
        <v>143</v>
      </c>
      <c r="G42" s="5" t="s">
        <v>143</v>
      </c>
      <c r="H42" s="5" t="s">
        <v>19</v>
      </c>
      <c r="I42" s="5" t="s">
        <v>19</v>
      </c>
      <c r="J42" s="5" t="s">
        <v>143</v>
      </c>
      <c r="K42" s="5" t="s">
        <v>19</v>
      </c>
      <c r="L42" s="5"/>
      <c r="M42" s="7"/>
      <c r="N42" s="7">
        <v>46216</v>
      </c>
      <c r="O42" s="8">
        <f t="shared" si="1"/>
        <v>0.5714285714285714</v>
      </c>
      <c r="P42" s="6" t="s">
        <v>275</v>
      </c>
      <c r="Q42" s="10" t="s">
        <v>273</v>
      </c>
      <c r="R42" s="10" t="s">
        <v>274</v>
      </c>
      <c r="S42" s="11"/>
      <c r="T42" s="1" t="s">
        <v>255</v>
      </c>
      <c r="U42" s="1" t="s">
        <v>255</v>
      </c>
      <c r="V42" s="1" t="s">
        <v>256</v>
      </c>
      <c r="W42" s="12">
        <v>46216</v>
      </c>
      <c r="X42" s="11" t="s">
        <v>380</v>
      </c>
      <c r="Y42" s="11" t="s">
        <v>380</v>
      </c>
      <c r="Z42" s="11" t="s">
        <v>380</v>
      </c>
      <c r="AA42" s="11"/>
      <c r="AB42" s="11"/>
      <c r="AC42" s="11"/>
      <c r="AD42" s="11" t="s">
        <v>380</v>
      </c>
      <c r="AE42" s="11" t="s">
        <v>380</v>
      </c>
      <c r="AF42" s="11"/>
    </row>
    <row r="43" spans="1:32" ht="38.25" x14ac:dyDescent="0.35">
      <c r="A43" s="3" t="s">
        <v>105</v>
      </c>
      <c r="B43" s="4" t="s">
        <v>106</v>
      </c>
      <c r="C43" s="5" t="s">
        <v>22</v>
      </c>
      <c r="D43" s="5"/>
      <c r="E43" s="5" t="s">
        <v>143</v>
      </c>
      <c r="F43" s="5" t="s">
        <v>143</v>
      </c>
      <c r="G43" s="5" t="s">
        <v>143</v>
      </c>
      <c r="H43" s="5" t="s">
        <v>19</v>
      </c>
      <c r="I43" s="5" t="s">
        <v>19</v>
      </c>
      <c r="J43" s="5" t="s">
        <v>143</v>
      </c>
      <c r="K43" s="5" t="s">
        <v>19</v>
      </c>
      <c r="L43" s="5"/>
      <c r="M43" s="7"/>
      <c r="N43" s="7">
        <v>46216</v>
      </c>
      <c r="O43" s="8">
        <f t="shared" si="1"/>
        <v>0.5714285714285714</v>
      </c>
      <c r="P43" s="6" t="s">
        <v>278</v>
      </c>
      <c r="Q43" s="10" t="s">
        <v>276</v>
      </c>
      <c r="R43" s="10" t="s">
        <v>277</v>
      </c>
      <c r="S43" s="11"/>
      <c r="T43" s="1" t="s">
        <v>255</v>
      </c>
      <c r="U43" s="1" t="s">
        <v>255</v>
      </c>
      <c r="V43" s="1" t="s">
        <v>256</v>
      </c>
      <c r="W43" s="12">
        <v>46216</v>
      </c>
      <c r="X43" s="11" t="s">
        <v>380</v>
      </c>
      <c r="Y43" s="11" t="s">
        <v>380</v>
      </c>
      <c r="Z43" s="11" t="s">
        <v>380</v>
      </c>
      <c r="AA43" s="11"/>
      <c r="AB43" s="11"/>
      <c r="AC43" s="11"/>
      <c r="AD43" s="11" t="s">
        <v>380</v>
      </c>
      <c r="AE43" s="11" t="s">
        <v>380</v>
      </c>
      <c r="AF43" s="11"/>
    </row>
    <row r="44" spans="1:32" ht="38.25" x14ac:dyDescent="0.35">
      <c r="A44" s="3" t="s">
        <v>107</v>
      </c>
      <c r="B44" s="4" t="s">
        <v>108</v>
      </c>
      <c r="C44" s="5" t="s">
        <v>88</v>
      </c>
      <c r="D44" s="5"/>
      <c r="E44" s="5" t="s">
        <v>143</v>
      </c>
      <c r="F44" s="5" t="s">
        <v>143</v>
      </c>
      <c r="G44" s="5" t="s">
        <v>143</v>
      </c>
      <c r="H44" s="5" t="s">
        <v>19</v>
      </c>
      <c r="I44" s="5" t="s">
        <v>19</v>
      </c>
      <c r="J44" s="5" t="s">
        <v>179</v>
      </c>
      <c r="K44" s="5" t="s">
        <v>19</v>
      </c>
      <c r="L44" s="5"/>
      <c r="M44" s="7"/>
      <c r="N44" s="7">
        <v>46227</v>
      </c>
      <c r="O44" s="8">
        <f t="shared" si="1"/>
        <v>0.42857142857142855</v>
      </c>
      <c r="P44" s="6" t="s">
        <v>281</v>
      </c>
      <c r="Q44" s="10" t="s">
        <v>279</v>
      </c>
      <c r="R44" s="10" t="s">
        <v>280</v>
      </c>
      <c r="S44" s="11"/>
      <c r="T44" s="1" t="s">
        <v>255</v>
      </c>
      <c r="U44" s="1" t="s">
        <v>179</v>
      </c>
      <c r="V44" s="1" t="s">
        <v>256</v>
      </c>
      <c r="W44" s="12">
        <v>46227</v>
      </c>
      <c r="X44" s="11" t="s">
        <v>380</v>
      </c>
      <c r="Y44" s="11" t="s">
        <v>380</v>
      </c>
      <c r="Z44" s="11"/>
      <c r="AA44" s="11"/>
      <c r="AB44" s="11"/>
      <c r="AC44" s="11"/>
      <c r="AD44" s="11" t="s">
        <v>380</v>
      </c>
      <c r="AE44" s="11" t="s">
        <v>380</v>
      </c>
      <c r="AF44" s="11"/>
    </row>
    <row r="45" spans="1:32" ht="38.25" x14ac:dyDescent="0.35">
      <c r="A45" s="3" t="s">
        <v>109</v>
      </c>
      <c r="B45" s="4" t="s">
        <v>110</v>
      </c>
      <c r="C45" s="5" t="s">
        <v>22</v>
      </c>
      <c r="D45" s="5"/>
      <c r="E45" s="5" t="s">
        <v>143</v>
      </c>
      <c r="F45" s="5" t="s">
        <v>143</v>
      </c>
      <c r="G45" s="5" t="s">
        <v>143</v>
      </c>
      <c r="H45" s="5" t="s">
        <v>19</v>
      </c>
      <c r="I45" s="5" t="s">
        <v>19</v>
      </c>
      <c r="J45" s="5" t="s">
        <v>143</v>
      </c>
      <c r="K45" s="5" t="s">
        <v>19</v>
      </c>
      <c r="L45" s="5"/>
      <c r="M45" s="7"/>
      <c r="N45" s="7">
        <v>46227</v>
      </c>
      <c r="O45" s="8">
        <f t="shared" si="1"/>
        <v>0.5714285714285714</v>
      </c>
      <c r="P45" s="6" t="s">
        <v>284</v>
      </c>
      <c r="Q45" s="10" t="s">
        <v>282</v>
      </c>
      <c r="R45" s="10" t="s">
        <v>283</v>
      </c>
      <c r="S45" s="11"/>
      <c r="T45" s="1" t="s">
        <v>255</v>
      </c>
      <c r="U45" s="1" t="s">
        <v>255</v>
      </c>
      <c r="V45" s="1" t="s">
        <v>256</v>
      </c>
      <c r="W45" s="12">
        <v>46227</v>
      </c>
      <c r="X45" s="11" t="s">
        <v>380</v>
      </c>
      <c r="Y45" s="11" t="s">
        <v>380</v>
      </c>
      <c r="Z45" s="11" t="s">
        <v>380</v>
      </c>
      <c r="AA45" s="11"/>
      <c r="AB45" s="11"/>
      <c r="AC45" s="11"/>
      <c r="AD45" s="11" t="s">
        <v>380</v>
      </c>
      <c r="AE45" s="11" t="s">
        <v>380</v>
      </c>
      <c r="AF45" s="11"/>
    </row>
    <row r="46" spans="1:32" ht="63.75" x14ac:dyDescent="0.35">
      <c r="A46" s="3" t="s">
        <v>111</v>
      </c>
      <c r="B46" s="4" t="s">
        <v>112</v>
      </c>
      <c r="C46" s="5" t="s">
        <v>22</v>
      </c>
      <c r="D46" s="5"/>
      <c r="E46" s="5" t="s">
        <v>143</v>
      </c>
      <c r="F46" s="5" t="s">
        <v>143</v>
      </c>
      <c r="G46" s="5" t="s">
        <v>143</v>
      </c>
      <c r="H46" s="5" t="s">
        <v>19</v>
      </c>
      <c r="I46" s="5" t="s">
        <v>19</v>
      </c>
      <c r="J46" s="5" t="s">
        <v>143</v>
      </c>
      <c r="K46" s="5" t="s">
        <v>19</v>
      </c>
      <c r="L46" s="5"/>
      <c r="M46" s="7"/>
      <c r="N46" s="7">
        <v>46227</v>
      </c>
      <c r="O46" s="8">
        <f t="shared" si="1"/>
        <v>0.5714285714285714</v>
      </c>
      <c r="P46" s="6" t="s">
        <v>287</v>
      </c>
      <c r="Q46" s="10" t="s">
        <v>285</v>
      </c>
      <c r="R46" s="10" t="s">
        <v>286</v>
      </c>
      <c r="S46" s="11"/>
      <c r="T46" s="1" t="s">
        <v>255</v>
      </c>
      <c r="U46" s="1" t="s">
        <v>255</v>
      </c>
      <c r="V46" s="1" t="s">
        <v>256</v>
      </c>
      <c r="W46" s="12">
        <v>46227</v>
      </c>
      <c r="X46" s="11" t="s">
        <v>380</v>
      </c>
      <c r="Y46" s="11" t="s">
        <v>380</v>
      </c>
      <c r="Z46" s="11" t="s">
        <v>380</v>
      </c>
      <c r="AA46" s="11"/>
      <c r="AB46" s="11"/>
      <c r="AC46" s="11"/>
      <c r="AD46" s="11" t="s">
        <v>380</v>
      </c>
      <c r="AE46" s="11" t="s">
        <v>380</v>
      </c>
      <c r="AF46" s="11"/>
    </row>
    <row r="47" spans="1:32" ht="51" x14ac:dyDescent="0.35">
      <c r="A47" s="3" t="s">
        <v>113</v>
      </c>
      <c r="B47" s="4" t="s">
        <v>114</v>
      </c>
      <c r="C47" s="5" t="s">
        <v>88</v>
      </c>
      <c r="D47" s="5"/>
      <c r="E47" s="5" t="s">
        <v>143</v>
      </c>
      <c r="F47" s="5" t="s">
        <v>143</v>
      </c>
      <c r="G47" s="5" t="s">
        <v>143</v>
      </c>
      <c r="H47" s="5" t="s">
        <v>19</v>
      </c>
      <c r="I47" s="5" t="s">
        <v>19</v>
      </c>
      <c r="J47" s="5" t="s">
        <v>179</v>
      </c>
      <c r="K47" s="5" t="s">
        <v>19</v>
      </c>
      <c r="L47" s="5"/>
      <c r="M47" s="7"/>
      <c r="N47" s="7">
        <v>46227</v>
      </c>
      <c r="O47" s="8">
        <f t="shared" si="1"/>
        <v>0.42857142857142855</v>
      </c>
      <c r="P47" s="6" t="s">
        <v>290</v>
      </c>
      <c r="Q47" s="10" t="s">
        <v>288</v>
      </c>
      <c r="R47" s="10" t="s">
        <v>289</v>
      </c>
      <c r="S47" s="11"/>
      <c r="T47" s="1" t="s">
        <v>255</v>
      </c>
      <c r="U47" s="1" t="s">
        <v>179</v>
      </c>
      <c r="V47" s="1" t="s">
        <v>256</v>
      </c>
      <c r="W47" s="12">
        <v>46227</v>
      </c>
      <c r="X47" s="11" t="s">
        <v>380</v>
      </c>
      <c r="Y47" s="11" t="s">
        <v>380</v>
      </c>
      <c r="Z47" s="11"/>
      <c r="AA47" s="11"/>
      <c r="AB47" s="11"/>
      <c r="AC47" s="11"/>
      <c r="AD47" s="11" t="s">
        <v>380</v>
      </c>
      <c r="AE47" s="11" t="s">
        <v>380</v>
      </c>
      <c r="AF47" s="11"/>
    </row>
    <row r="48" spans="1:32" ht="38.25" x14ac:dyDescent="0.35">
      <c r="A48" s="3" t="s">
        <v>115</v>
      </c>
      <c r="B48" s="4" t="s">
        <v>116</v>
      </c>
      <c r="C48" s="5" t="s">
        <v>22</v>
      </c>
      <c r="D48" s="5"/>
      <c r="E48" s="5" t="s">
        <v>143</v>
      </c>
      <c r="F48" s="5" t="s">
        <v>143</v>
      </c>
      <c r="G48" s="5" t="s">
        <v>143</v>
      </c>
      <c r="H48" s="5" t="s">
        <v>19</v>
      </c>
      <c r="I48" s="5" t="s">
        <v>19</v>
      </c>
      <c r="J48" s="5" t="s">
        <v>143</v>
      </c>
      <c r="K48" s="5" t="s">
        <v>19</v>
      </c>
      <c r="L48" s="5"/>
      <c r="M48" s="7"/>
      <c r="N48" s="7">
        <v>46227</v>
      </c>
      <c r="O48" s="8">
        <f t="shared" si="1"/>
        <v>0.5714285714285714</v>
      </c>
      <c r="P48" s="6" t="s">
        <v>293</v>
      </c>
      <c r="Q48" s="10" t="s">
        <v>291</v>
      </c>
      <c r="R48" s="10" t="s">
        <v>292</v>
      </c>
      <c r="S48" s="11"/>
      <c r="T48" s="1" t="s">
        <v>255</v>
      </c>
      <c r="U48" s="1" t="s">
        <v>255</v>
      </c>
      <c r="V48" s="1" t="s">
        <v>256</v>
      </c>
      <c r="W48" s="12">
        <v>46227</v>
      </c>
      <c r="X48" s="11" t="s">
        <v>380</v>
      </c>
      <c r="Y48" s="11" t="s">
        <v>380</v>
      </c>
      <c r="Z48" s="11" t="s">
        <v>380</v>
      </c>
      <c r="AA48" s="11"/>
      <c r="AB48" s="11"/>
      <c r="AC48" s="11"/>
      <c r="AD48" s="11" t="s">
        <v>380</v>
      </c>
      <c r="AE48" s="11" t="s">
        <v>380</v>
      </c>
      <c r="AF48" s="11"/>
    </row>
    <row r="49" spans="1:32" ht="38.25" x14ac:dyDescent="0.35">
      <c r="A49" s="3" t="s">
        <v>117</v>
      </c>
      <c r="B49" s="4" t="s">
        <v>118</v>
      </c>
      <c r="C49" s="5" t="s">
        <v>22</v>
      </c>
      <c r="D49" s="5"/>
      <c r="E49" s="5" t="s">
        <v>143</v>
      </c>
      <c r="F49" s="5" t="s">
        <v>143</v>
      </c>
      <c r="G49" s="5" t="s">
        <v>143</v>
      </c>
      <c r="H49" s="5" t="s">
        <v>19</v>
      </c>
      <c r="I49" s="5" t="s">
        <v>19</v>
      </c>
      <c r="J49" s="5" t="s">
        <v>143</v>
      </c>
      <c r="K49" s="5" t="s">
        <v>19</v>
      </c>
      <c r="L49" s="5"/>
      <c r="M49" s="7"/>
      <c r="N49" s="7">
        <v>46227</v>
      </c>
      <c r="O49" s="8">
        <f t="shared" si="1"/>
        <v>0.5714285714285714</v>
      </c>
      <c r="P49" s="6" t="s">
        <v>296</v>
      </c>
      <c r="Q49" s="10" t="s">
        <v>294</v>
      </c>
      <c r="R49" s="10" t="s">
        <v>295</v>
      </c>
      <c r="S49" s="11"/>
      <c r="T49" s="1" t="s">
        <v>255</v>
      </c>
      <c r="U49" s="1" t="s">
        <v>255</v>
      </c>
      <c r="V49" s="1" t="s">
        <v>256</v>
      </c>
      <c r="W49" s="12">
        <v>46227</v>
      </c>
      <c r="X49" s="11" t="s">
        <v>380</v>
      </c>
      <c r="Y49" s="11" t="s">
        <v>380</v>
      </c>
      <c r="Z49" s="11" t="s">
        <v>380</v>
      </c>
      <c r="AA49" s="11"/>
      <c r="AB49" s="11"/>
      <c r="AC49" s="11"/>
      <c r="AD49" s="11" t="s">
        <v>380</v>
      </c>
      <c r="AE49" s="11" t="s">
        <v>380</v>
      </c>
      <c r="AF49" s="11"/>
    </row>
    <row r="50" spans="1:32" ht="38.25" x14ac:dyDescent="0.35">
      <c r="A50" s="3" t="s">
        <v>119</v>
      </c>
      <c r="B50" s="4" t="s">
        <v>120</v>
      </c>
      <c r="C50" s="5" t="s">
        <v>22</v>
      </c>
      <c r="D50" s="5"/>
      <c r="E50" s="5" t="s">
        <v>143</v>
      </c>
      <c r="F50" s="5" t="s">
        <v>143</v>
      </c>
      <c r="G50" s="5" t="s">
        <v>143</v>
      </c>
      <c r="H50" s="5" t="s">
        <v>19</v>
      </c>
      <c r="I50" s="5" t="s">
        <v>19</v>
      </c>
      <c r="J50" s="5" t="s">
        <v>143</v>
      </c>
      <c r="K50" s="5" t="s">
        <v>19</v>
      </c>
      <c r="L50" s="5"/>
      <c r="M50" s="7"/>
      <c r="N50" s="7">
        <v>46227</v>
      </c>
      <c r="O50" s="8">
        <f t="shared" si="1"/>
        <v>0.5714285714285714</v>
      </c>
      <c r="P50" s="6" t="s">
        <v>299</v>
      </c>
      <c r="Q50" s="10" t="s">
        <v>297</v>
      </c>
      <c r="R50" s="10" t="s">
        <v>298</v>
      </c>
      <c r="S50" s="11"/>
      <c r="T50" s="1" t="s">
        <v>255</v>
      </c>
      <c r="U50" s="1" t="s">
        <v>255</v>
      </c>
      <c r="V50" s="1" t="s">
        <v>256</v>
      </c>
      <c r="W50" s="12">
        <v>46227</v>
      </c>
      <c r="X50" s="11" t="s">
        <v>380</v>
      </c>
      <c r="Y50" s="11" t="s">
        <v>380</v>
      </c>
      <c r="Z50" s="11" t="s">
        <v>380</v>
      </c>
      <c r="AA50" s="11"/>
      <c r="AB50" s="11"/>
      <c r="AC50" s="11"/>
      <c r="AD50" s="11" t="s">
        <v>380</v>
      </c>
      <c r="AE50" s="11" t="s">
        <v>380</v>
      </c>
      <c r="AF50" s="11"/>
    </row>
    <row r="51" spans="1:32" ht="38.25" x14ac:dyDescent="0.35">
      <c r="A51" s="3" t="s">
        <v>121</v>
      </c>
      <c r="B51" s="4" t="s">
        <v>122</v>
      </c>
      <c r="C51" s="5" t="s">
        <v>18</v>
      </c>
      <c r="D51" s="5"/>
      <c r="E51" s="5" t="s">
        <v>143</v>
      </c>
      <c r="F51" s="5" t="s">
        <v>143</v>
      </c>
      <c r="G51" s="5" t="s">
        <v>143</v>
      </c>
      <c r="H51" s="5" t="s">
        <v>19</v>
      </c>
      <c r="I51" s="5" t="s">
        <v>19</v>
      </c>
      <c r="J51" s="5" t="s">
        <v>143</v>
      </c>
      <c r="K51" s="5" t="s">
        <v>19</v>
      </c>
      <c r="L51" s="5"/>
      <c r="M51" s="7"/>
      <c r="N51" s="7">
        <v>46230</v>
      </c>
      <c r="O51" s="8">
        <f t="shared" si="1"/>
        <v>0.5714285714285714</v>
      </c>
      <c r="P51" s="6" t="s">
        <v>302</v>
      </c>
      <c r="Q51" s="10" t="s">
        <v>300</v>
      </c>
      <c r="R51" s="10" t="s">
        <v>301</v>
      </c>
      <c r="S51" s="11"/>
      <c r="T51" s="1" t="s">
        <v>255</v>
      </c>
      <c r="U51" s="1" t="s">
        <v>255</v>
      </c>
      <c r="V51" s="1" t="s">
        <v>256</v>
      </c>
      <c r="W51" s="12">
        <v>46230</v>
      </c>
      <c r="X51" s="11" t="s">
        <v>380</v>
      </c>
      <c r="Y51" s="11" t="s">
        <v>380</v>
      </c>
      <c r="Z51" s="11" t="s">
        <v>380</v>
      </c>
      <c r="AA51" s="11"/>
      <c r="AB51" s="11"/>
      <c r="AC51" s="11"/>
      <c r="AD51" s="11" t="s">
        <v>380</v>
      </c>
      <c r="AE51" s="11" t="s">
        <v>380</v>
      </c>
      <c r="AF51" s="11"/>
    </row>
    <row r="52" spans="1:32" ht="38.25" x14ac:dyDescent="0.35">
      <c r="A52" s="3" t="s">
        <v>123</v>
      </c>
      <c r="B52" s="4" t="s">
        <v>124</v>
      </c>
      <c r="C52" s="5" t="s">
        <v>57</v>
      </c>
      <c r="D52" s="5"/>
      <c r="E52" s="5" t="s">
        <v>143</v>
      </c>
      <c r="F52" s="5" t="s">
        <v>143</v>
      </c>
      <c r="G52" s="5" t="s">
        <v>143</v>
      </c>
      <c r="H52" s="5" t="s">
        <v>19</v>
      </c>
      <c r="I52" s="5" t="s">
        <v>19</v>
      </c>
      <c r="J52" s="5" t="s">
        <v>179</v>
      </c>
      <c r="K52" s="5" t="s">
        <v>19</v>
      </c>
      <c r="L52" s="5"/>
      <c r="M52" s="7"/>
      <c r="N52" s="7">
        <v>46230</v>
      </c>
      <c r="O52" s="8">
        <f t="shared" si="1"/>
        <v>0.42857142857142855</v>
      </c>
      <c r="P52" s="6" t="s">
        <v>305</v>
      </c>
      <c r="Q52" s="10" t="s">
        <v>303</v>
      </c>
      <c r="R52" s="10" t="s">
        <v>304</v>
      </c>
      <c r="S52" s="11"/>
      <c r="T52" s="1" t="s">
        <v>255</v>
      </c>
      <c r="U52" s="1" t="s">
        <v>179</v>
      </c>
      <c r="V52" s="1" t="s">
        <v>256</v>
      </c>
      <c r="W52" s="12">
        <v>46230</v>
      </c>
      <c r="X52" s="11" t="s">
        <v>380</v>
      </c>
      <c r="Y52" s="11" t="s">
        <v>380</v>
      </c>
      <c r="Z52" s="11"/>
      <c r="AA52" s="11"/>
      <c r="AB52" s="11"/>
      <c r="AC52" s="11"/>
      <c r="AD52" s="11" t="s">
        <v>380</v>
      </c>
      <c r="AE52" s="11" t="s">
        <v>380</v>
      </c>
      <c r="AF52" s="11"/>
    </row>
    <row r="53" spans="1:32" ht="38.25" x14ac:dyDescent="0.35">
      <c r="A53" s="3" t="s">
        <v>125</v>
      </c>
      <c r="B53" s="4" t="s">
        <v>126</v>
      </c>
      <c r="C53" s="5" t="s">
        <v>22</v>
      </c>
      <c r="D53" s="5"/>
      <c r="E53" s="5" t="s">
        <v>143</v>
      </c>
      <c r="F53" s="5" t="s">
        <v>143</v>
      </c>
      <c r="G53" s="5" t="s">
        <v>143</v>
      </c>
      <c r="H53" s="5" t="s">
        <v>19</v>
      </c>
      <c r="I53" s="5" t="s">
        <v>19</v>
      </c>
      <c r="J53" s="5" t="s">
        <v>143</v>
      </c>
      <c r="K53" s="5" t="s">
        <v>19</v>
      </c>
      <c r="L53" s="5"/>
      <c r="M53" s="7"/>
      <c r="N53" s="7">
        <v>46230</v>
      </c>
      <c r="O53" s="8">
        <f t="shared" si="1"/>
        <v>0.5714285714285714</v>
      </c>
      <c r="P53" s="6" t="s">
        <v>308</v>
      </c>
      <c r="Q53" s="10" t="s">
        <v>306</v>
      </c>
      <c r="R53" s="10" t="s">
        <v>307</v>
      </c>
      <c r="S53" s="11"/>
      <c r="T53" s="1" t="s">
        <v>255</v>
      </c>
      <c r="U53" s="1" t="s">
        <v>255</v>
      </c>
      <c r="V53" s="1" t="s">
        <v>256</v>
      </c>
      <c r="W53" s="12">
        <v>46230</v>
      </c>
      <c r="X53" s="11" t="s">
        <v>380</v>
      </c>
      <c r="Y53" s="11" t="s">
        <v>380</v>
      </c>
      <c r="Z53" s="11" t="s">
        <v>380</v>
      </c>
      <c r="AA53" s="11"/>
      <c r="AB53" s="11"/>
      <c r="AC53" s="11"/>
      <c r="AD53" s="11" t="s">
        <v>380</v>
      </c>
      <c r="AE53" s="11" t="s">
        <v>380</v>
      </c>
      <c r="AF53" s="11"/>
    </row>
    <row r="54" spans="1:32" ht="38.25" x14ac:dyDescent="0.35">
      <c r="A54" s="3" t="s">
        <v>127</v>
      </c>
      <c r="B54" s="4" t="s">
        <v>128</v>
      </c>
      <c r="C54" s="5" t="s">
        <v>22</v>
      </c>
      <c r="D54" s="5"/>
      <c r="E54" s="5" t="s">
        <v>143</v>
      </c>
      <c r="F54" s="5" t="s">
        <v>143</v>
      </c>
      <c r="G54" s="5" t="s">
        <v>143</v>
      </c>
      <c r="H54" s="5" t="s">
        <v>19</v>
      </c>
      <c r="I54" s="5" t="s">
        <v>19</v>
      </c>
      <c r="J54" s="5" t="s">
        <v>143</v>
      </c>
      <c r="K54" s="5" t="s">
        <v>19</v>
      </c>
      <c r="L54" s="5"/>
      <c r="M54" s="7"/>
      <c r="N54" s="7">
        <v>46230</v>
      </c>
      <c r="O54" s="8">
        <f t="shared" si="1"/>
        <v>0.5714285714285714</v>
      </c>
      <c r="P54" s="6" t="s">
        <v>311</v>
      </c>
      <c r="Q54" s="10" t="s">
        <v>309</v>
      </c>
      <c r="R54" s="10" t="s">
        <v>310</v>
      </c>
      <c r="S54" s="11"/>
      <c r="T54" s="1" t="s">
        <v>255</v>
      </c>
      <c r="U54" s="1" t="s">
        <v>255</v>
      </c>
      <c r="V54" s="1" t="s">
        <v>256</v>
      </c>
      <c r="W54" s="12">
        <v>46230</v>
      </c>
      <c r="X54" s="11" t="s">
        <v>380</v>
      </c>
      <c r="Y54" s="11" t="s">
        <v>380</v>
      </c>
      <c r="Z54" s="11" t="s">
        <v>380</v>
      </c>
      <c r="AA54" s="11"/>
      <c r="AB54" s="11"/>
      <c r="AC54" s="11"/>
      <c r="AD54" s="11" t="s">
        <v>380</v>
      </c>
      <c r="AE54" s="11" t="s">
        <v>380</v>
      </c>
      <c r="AF54" s="11"/>
    </row>
    <row r="55" spans="1:32" ht="38.25" x14ac:dyDescent="0.35">
      <c r="A55" s="3" t="s">
        <v>129</v>
      </c>
      <c r="B55" s="4" t="s">
        <v>130</v>
      </c>
      <c r="C55" s="5" t="s">
        <v>22</v>
      </c>
      <c r="D55" s="5"/>
      <c r="E55" s="5" t="s">
        <v>143</v>
      </c>
      <c r="F55" s="5" t="s">
        <v>143</v>
      </c>
      <c r="G55" s="5" t="s">
        <v>143</v>
      </c>
      <c r="H55" s="5" t="s">
        <v>19</v>
      </c>
      <c r="I55" s="5" t="s">
        <v>19</v>
      </c>
      <c r="J55" s="5" t="s">
        <v>143</v>
      </c>
      <c r="K55" s="5" t="s">
        <v>19</v>
      </c>
      <c r="L55" s="5"/>
      <c r="M55" s="7"/>
      <c r="N55" s="7">
        <v>46230</v>
      </c>
      <c r="O55" s="8">
        <f t="shared" si="1"/>
        <v>0.5714285714285714</v>
      </c>
      <c r="P55" s="6" t="s">
        <v>314</v>
      </c>
      <c r="Q55" s="10" t="s">
        <v>312</v>
      </c>
      <c r="R55" s="10" t="s">
        <v>313</v>
      </c>
      <c r="S55" s="11"/>
      <c r="T55" s="1" t="s">
        <v>255</v>
      </c>
      <c r="U55" s="1" t="s">
        <v>255</v>
      </c>
      <c r="V55" s="1" t="s">
        <v>256</v>
      </c>
      <c r="W55" s="12">
        <v>46230</v>
      </c>
      <c r="X55" s="11" t="s">
        <v>380</v>
      </c>
      <c r="Y55" s="11" t="s">
        <v>380</v>
      </c>
      <c r="Z55" s="11" t="s">
        <v>380</v>
      </c>
      <c r="AA55" s="11"/>
      <c r="AB55" s="11"/>
      <c r="AC55" s="11"/>
      <c r="AD55" s="11" t="s">
        <v>380</v>
      </c>
      <c r="AE55" s="11" t="s">
        <v>380</v>
      </c>
      <c r="AF55" s="11"/>
    </row>
    <row r="56" spans="1:32" ht="38.25" x14ac:dyDescent="0.35">
      <c r="A56" s="3" t="s">
        <v>131</v>
      </c>
      <c r="B56" s="4" t="s">
        <v>132</v>
      </c>
      <c r="C56" s="5" t="s">
        <v>22</v>
      </c>
      <c r="D56" s="5"/>
      <c r="E56" s="5" t="s">
        <v>143</v>
      </c>
      <c r="F56" s="5" t="s">
        <v>143</v>
      </c>
      <c r="G56" s="5" t="s">
        <v>143</v>
      </c>
      <c r="H56" s="5" t="s">
        <v>19</v>
      </c>
      <c r="I56" s="5" t="s">
        <v>19</v>
      </c>
      <c r="J56" s="5" t="s">
        <v>143</v>
      </c>
      <c r="K56" s="5" t="s">
        <v>19</v>
      </c>
      <c r="L56" s="5"/>
      <c r="M56" s="7"/>
      <c r="N56" s="7">
        <v>46230</v>
      </c>
      <c r="O56" s="8">
        <f t="shared" si="1"/>
        <v>0.5714285714285714</v>
      </c>
      <c r="P56" s="6" t="s">
        <v>317</v>
      </c>
      <c r="Q56" s="10" t="s">
        <v>315</v>
      </c>
      <c r="R56" s="10" t="s">
        <v>316</v>
      </c>
      <c r="S56" s="11"/>
      <c r="T56" s="1" t="s">
        <v>255</v>
      </c>
      <c r="U56" s="1" t="s">
        <v>255</v>
      </c>
      <c r="V56" s="1" t="s">
        <v>256</v>
      </c>
      <c r="W56" s="12">
        <v>46230</v>
      </c>
      <c r="X56" s="11" t="s">
        <v>380</v>
      </c>
      <c r="Y56" s="11" t="s">
        <v>380</v>
      </c>
      <c r="Z56" s="11" t="s">
        <v>380</v>
      </c>
      <c r="AA56" s="11"/>
      <c r="AB56" s="11"/>
      <c r="AC56" s="11"/>
      <c r="AD56" s="11" t="s">
        <v>380</v>
      </c>
      <c r="AE56" s="11" t="s">
        <v>380</v>
      </c>
      <c r="AF56" s="11"/>
    </row>
    <row r="57" spans="1:32" ht="51" x14ac:dyDescent="0.35">
      <c r="A57" s="3" t="s">
        <v>133</v>
      </c>
      <c r="B57" s="4" t="s">
        <v>134</v>
      </c>
      <c r="C57" s="5" t="s">
        <v>22</v>
      </c>
      <c r="D57" s="5"/>
      <c r="E57" s="5" t="s">
        <v>143</v>
      </c>
      <c r="F57" s="5" t="s">
        <v>143</v>
      </c>
      <c r="G57" s="5" t="s">
        <v>143</v>
      </c>
      <c r="H57" s="5" t="s">
        <v>19</v>
      </c>
      <c r="I57" s="5" t="s">
        <v>19</v>
      </c>
      <c r="J57" s="5" t="s">
        <v>143</v>
      </c>
      <c r="K57" s="5" t="s">
        <v>19</v>
      </c>
      <c r="L57" s="5"/>
      <c r="M57" s="7"/>
      <c r="N57" s="7">
        <v>46231</v>
      </c>
      <c r="O57" s="8">
        <f t="shared" si="1"/>
        <v>0.5714285714285714</v>
      </c>
      <c r="P57" s="6" t="s">
        <v>320</v>
      </c>
      <c r="Q57" s="10" t="s">
        <v>318</v>
      </c>
      <c r="R57" s="10" t="s">
        <v>319</v>
      </c>
      <c r="S57" s="11"/>
      <c r="T57" s="1" t="s">
        <v>255</v>
      </c>
      <c r="U57" s="1" t="s">
        <v>255</v>
      </c>
      <c r="V57" s="1" t="s">
        <v>256</v>
      </c>
      <c r="W57" s="12">
        <v>46231</v>
      </c>
      <c r="X57" s="11" t="s">
        <v>380</v>
      </c>
      <c r="Y57" s="11" t="s">
        <v>380</v>
      </c>
      <c r="Z57" s="11" t="s">
        <v>380</v>
      </c>
      <c r="AA57" s="11"/>
      <c r="AB57" s="11"/>
      <c r="AC57" s="11"/>
      <c r="AD57" s="11" t="s">
        <v>380</v>
      </c>
      <c r="AE57" s="11" t="s">
        <v>380</v>
      </c>
      <c r="AF57" s="11"/>
    </row>
    <row r="58" spans="1:32" ht="51" x14ac:dyDescent="0.35">
      <c r="A58" s="3" t="s">
        <v>135</v>
      </c>
      <c r="B58" s="4" t="s">
        <v>136</v>
      </c>
      <c r="C58" s="5" t="s">
        <v>57</v>
      </c>
      <c r="D58" s="5"/>
      <c r="E58" s="5" t="s">
        <v>143</v>
      </c>
      <c r="F58" s="5" t="s">
        <v>143</v>
      </c>
      <c r="G58" s="5" t="s">
        <v>143</v>
      </c>
      <c r="H58" s="5" t="s">
        <v>19</v>
      </c>
      <c r="I58" s="5" t="s">
        <v>19</v>
      </c>
      <c r="J58" s="5" t="s">
        <v>143</v>
      </c>
      <c r="K58" s="5" t="s">
        <v>19</v>
      </c>
      <c r="L58" s="5"/>
      <c r="M58" s="7"/>
      <c r="N58" s="7">
        <v>46231</v>
      </c>
      <c r="O58" s="8">
        <f t="shared" si="1"/>
        <v>0.5714285714285714</v>
      </c>
      <c r="P58" s="6" t="s">
        <v>323</v>
      </c>
      <c r="Q58" s="10" t="s">
        <v>321</v>
      </c>
      <c r="R58" s="10" t="s">
        <v>322</v>
      </c>
      <c r="S58" s="11"/>
      <c r="T58" s="1" t="s">
        <v>255</v>
      </c>
      <c r="U58" s="1" t="s">
        <v>255</v>
      </c>
      <c r="V58" s="1" t="s">
        <v>256</v>
      </c>
      <c r="W58" s="12">
        <v>46231</v>
      </c>
      <c r="X58" s="11" t="s">
        <v>380</v>
      </c>
      <c r="Y58" s="11" t="s">
        <v>380</v>
      </c>
      <c r="Z58" s="11" t="s">
        <v>380</v>
      </c>
      <c r="AA58" s="11"/>
      <c r="AB58" s="11"/>
      <c r="AC58" s="11"/>
      <c r="AD58" s="11" t="s">
        <v>380</v>
      </c>
      <c r="AE58" s="11" t="s">
        <v>380</v>
      </c>
      <c r="AF58" s="11"/>
    </row>
    <row r="59" spans="1:32" ht="38.25" x14ac:dyDescent="0.35">
      <c r="A59" s="3" t="s">
        <v>137</v>
      </c>
      <c r="B59" s="4" t="s">
        <v>138</v>
      </c>
      <c r="C59" s="5" t="s">
        <v>22</v>
      </c>
      <c r="D59" s="5"/>
      <c r="E59" s="5" t="s">
        <v>143</v>
      </c>
      <c r="F59" s="5" t="s">
        <v>143</v>
      </c>
      <c r="G59" s="5" t="s">
        <v>143</v>
      </c>
      <c r="H59" s="5" t="s">
        <v>19</v>
      </c>
      <c r="I59" s="5" t="s">
        <v>19</v>
      </c>
      <c r="J59" s="5" t="s">
        <v>143</v>
      </c>
      <c r="K59" s="5" t="s">
        <v>19</v>
      </c>
      <c r="L59" s="5"/>
      <c r="M59" s="7"/>
      <c r="N59" s="7">
        <v>46231</v>
      </c>
      <c r="O59" s="8">
        <f t="shared" si="1"/>
        <v>0.5714285714285714</v>
      </c>
      <c r="P59" s="6" t="s">
        <v>326</v>
      </c>
      <c r="Q59" s="10" t="s">
        <v>324</v>
      </c>
      <c r="R59" s="10" t="s">
        <v>325</v>
      </c>
      <c r="S59" s="11"/>
      <c r="T59" s="1" t="s">
        <v>255</v>
      </c>
      <c r="U59" s="1" t="s">
        <v>255</v>
      </c>
      <c r="V59" s="1" t="s">
        <v>256</v>
      </c>
      <c r="W59" s="12">
        <v>46231</v>
      </c>
      <c r="X59" s="11" t="s">
        <v>380</v>
      </c>
      <c r="Y59" s="11" t="s">
        <v>380</v>
      </c>
      <c r="Z59" s="11" t="s">
        <v>380</v>
      </c>
      <c r="AA59" s="11"/>
      <c r="AB59" s="11"/>
      <c r="AC59" s="11"/>
      <c r="AD59" s="11" t="s">
        <v>380</v>
      </c>
      <c r="AE59" s="11" t="s">
        <v>380</v>
      </c>
      <c r="AF59" s="11"/>
    </row>
    <row r="60" spans="1:32" ht="51" x14ac:dyDescent="0.35">
      <c r="A60" s="3" t="s">
        <v>139</v>
      </c>
      <c r="B60" s="4" t="s">
        <v>140</v>
      </c>
      <c r="C60" s="5" t="s">
        <v>22</v>
      </c>
      <c r="D60" s="5"/>
      <c r="E60" s="5" t="s">
        <v>143</v>
      </c>
      <c r="F60" s="5" t="s">
        <v>143</v>
      </c>
      <c r="G60" s="5" t="s">
        <v>143</v>
      </c>
      <c r="H60" s="5" t="s">
        <v>19</v>
      </c>
      <c r="I60" s="5" t="s">
        <v>19</v>
      </c>
      <c r="J60" s="5" t="s">
        <v>143</v>
      </c>
      <c r="K60" s="5" t="s">
        <v>19</v>
      </c>
      <c r="L60" s="5"/>
      <c r="M60" s="7"/>
      <c r="N60" s="7">
        <v>46231</v>
      </c>
      <c r="O60" s="8">
        <f t="shared" si="1"/>
        <v>0.5714285714285714</v>
      </c>
      <c r="P60" s="6" t="s">
        <v>329</v>
      </c>
      <c r="Q60" s="10" t="s">
        <v>327</v>
      </c>
      <c r="R60" s="10" t="s">
        <v>328</v>
      </c>
      <c r="S60" s="11"/>
      <c r="T60" s="1" t="s">
        <v>255</v>
      </c>
      <c r="U60" s="1" t="s">
        <v>255</v>
      </c>
      <c r="V60" s="1" t="s">
        <v>256</v>
      </c>
      <c r="W60" s="12">
        <v>46231</v>
      </c>
      <c r="X60" s="11" t="s">
        <v>380</v>
      </c>
      <c r="Y60" s="11" t="s">
        <v>380</v>
      </c>
      <c r="Z60" s="11" t="s">
        <v>380</v>
      </c>
      <c r="AA60" s="11"/>
      <c r="AB60" s="11"/>
      <c r="AC60" s="11"/>
      <c r="AD60" s="11" t="s">
        <v>380</v>
      </c>
      <c r="AE60" s="11" t="s">
        <v>380</v>
      </c>
      <c r="AF60" s="11"/>
    </row>
    <row r="61" spans="1:32" ht="14.25" x14ac:dyDescent="0.45">
      <c r="A61" s="13" t="s">
        <v>330</v>
      </c>
      <c r="B61" s="13" t="s">
        <v>331</v>
      </c>
      <c r="C61" s="1" t="s">
        <v>332</v>
      </c>
      <c r="E61" s="1" t="s">
        <v>143</v>
      </c>
      <c r="F61" s="1" t="s">
        <v>143</v>
      </c>
      <c r="G61" s="1" t="s">
        <v>143</v>
      </c>
      <c r="H61" s="1" t="s">
        <v>19</v>
      </c>
      <c r="I61" s="1" t="s">
        <v>19</v>
      </c>
      <c r="J61" s="1" t="s">
        <v>143</v>
      </c>
      <c r="K61" s="1" t="s">
        <v>19</v>
      </c>
      <c r="O61" s="14">
        <f t="shared" ref="O61:O68" si="2">COUNTIF(E61:K61,"Complete")/7</f>
        <v>0.5714285714285714</v>
      </c>
      <c r="P61" s="1" t="s">
        <v>333</v>
      </c>
      <c r="Q61" s="1" t="s">
        <v>334</v>
      </c>
      <c r="R61" s="1" t="s">
        <v>335</v>
      </c>
      <c r="T61" s="1" t="s">
        <v>255</v>
      </c>
      <c r="U61" s="1" t="s">
        <v>255</v>
      </c>
      <c r="V61" s="1" t="s">
        <v>256</v>
      </c>
      <c r="W61" s="15">
        <v>46247</v>
      </c>
      <c r="X61" s="11" t="s">
        <v>380</v>
      </c>
      <c r="Y61" s="11" t="s">
        <v>380</v>
      </c>
      <c r="Z61" s="11" t="s">
        <v>380</v>
      </c>
      <c r="AA61" s="11"/>
      <c r="AB61" s="11"/>
      <c r="AC61" s="11"/>
      <c r="AD61" s="11" t="s">
        <v>380</v>
      </c>
      <c r="AE61" s="11" t="s">
        <v>380</v>
      </c>
      <c r="AF61" s="11"/>
    </row>
    <row r="62" spans="1:32" ht="14.25" x14ac:dyDescent="0.45">
      <c r="A62" s="13" t="s">
        <v>336</v>
      </c>
      <c r="B62" s="13" t="s">
        <v>337</v>
      </c>
      <c r="C62" s="1" t="s">
        <v>332</v>
      </c>
      <c r="E62" s="1" t="s">
        <v>143</v>
      </c>
      <c r="F62" s="1" t="s">
        <v>143</v>
      </c>
      <c r="G62" s="1" t="s">
        <v>143</v>
      </c>
      <c r="H62" s="1" t="s">
        <v>19</v>
      </c>
      <c r="I62" s="1" t="s">
        <v>19</v>
      </c>
      <c r="J62" s="1" t="s">
        <v>143</v>
      </c>
      <c r="K62" s="1" t="s">
        <v>19</v>
      </c>
      <c r="O62" s="14">
        <f t="shared" si="2"/>
        <v>0.5714285714285714</v>
      </c>
      <c r="P62" s="1" t="s">
        <v>338</v>
      </c>
      <c r="Q62" s="1" t="s">
        <v>339</v>
      </c>
      <c r="R62" s="1" t="s">
        <v>340</v>
      </c>
      <c r="T62" s="1" t="s">
        <v>255</v>
      </c>
      <c r="U62" s="1" t="s">
        <v>255</v>
      </c>
      <c r="V62" s="1" t="s">
        <v>256</v>
      </c>
      <c r="W62" s="15">
        <v>46233</v>
      </c>
      <c r="X62" s="11" t="s">
        <v>380</v>
      </c>
      <c r="Y62" s="11" t="s">
        <v>380</v>
      </c>
      <c r="Z62" s="11" t="s">
        <v>380</v>
      </c>
      <c r="AA62" s="11"/>
      <c r="AB62" s="11"/>
      <c r="AC62" s="11"/>
      <c r="AD62" s="11" t="s">
        <v>380</v>
      </c>
      <c r="AE62" s="11" t="s">
        <v>380</v>
      </c>
      <c r="AF62" s="11"/>
    </row>
    <row r="63" spans="1:32" ht="14.25" x14ac:dyDescent="0.45">
      <c r="A63" s="13" t="s">
        <v>341</v>
      </c>
      <c r="B63" s="13" t="s">
        <v>342</v>
      </c>
      <c r="C63" s="1" t="s">
        <v>332</v>
      </c>
      <c r="E63" s="1" t="s">
        <v>143</v>
      </c>
      <c r="F63" s="1" t="s">
        <v>143</v>
      </c>
      <c r="G63" s="1" t="s">
        <v>143</v>
      </c>
      <c r="H63" s="1" t="s">
        <v>19</v>
      </c>
      <c r="I63" s="1" t="s">
        <v>19</v>
      </c>
      <c r="J63" s="1" t="s">
        <v>143</v>
      </c>
      <c r="K63" s="1" t="s">
        <v>19</v>
      </c>
      <c r="O63" s="14">
        <f t="shared" si="2"/>
        <v>0.5714285714285714</v>
      </c>
      <c r="P63" s="1" t="s">
        <v>343</v>
      </c>
      <c r="Q63" s="1" t="s">
        <v>344</v>
      </c>
      <c r="R63" s="1" t="s">
        <v>345</v>
      </c>
      <c r="T63" s="1" t="s">
        <v>255</v>
      </c>
      <c r="U63" s="1" t="s">
        <v>255</v>
      </c>
      <c r="V63" s="1" t="s">
        <v>256</v>
      </c>
      <c r="W63" s="15">
        <v>46233</v>
      </c>
      <c r="X63" s="11" t="s">
        <v>380</v>
      </c>
      <c r="Y63" s="11" t="s">
        <v>380</v>
      </c>
      <c r="Z63" s="11" t="s">
        <v>380</v>
      </c>
      <c r="AA63" s="11"/>
      <c r="AB63" s="11"/>
      <c r="AC63" s="11"/>
      <c r="AD63" s="11" t="s">
        <v>380</v>
      </c>
      <c r="AE63" s="11" t="s">
        <v>380</v>
      </c>
      <c r="AF63" s="11"/>
    </row>
    <row r="64" spans="1:32" ht="14.25" x14ac:dyDescent="0.45">
      <c r="A64" s="13" t="s">
        <v>346</v>
      </c>
      <c r="B64" s="13" t="s">
        <v>347</v>
      </c>
      <c r="C64" s="1" t="s">
        <v>332</v>
      </c>
      <c r="E64" s="1" t="s">
        <v>143</v>
      </c>
      <c r="F64" s="1" t="s">
        <v>143</v>
      </c>
      <c r="G64" s="1" t="s">
        <v>143</v>
      </c>
      <c r="H64" s="1" t="s">
        <v>19</v>
      </c>
      <c r="I64" s="1" t="s">
        <v>19</v>
      </c>
      <c r="J64" s="1" t="s">
        <v>143</v>
      </c>
      <c r="K64" s="1" t="s">
        <v>19</v>
      </c>
      <c r="O64" s="14">
        <f t="shared" si="2"/>
        <v>0.5714285714285714</v>
      </c>
      <c r="P64" s="1" t="s">
        <v>348</v>
      </c>
      <c r="Q64" s="1" t="s">
        <v>349</v>
      </c>
      <c r="R64" s="1" t="s">
        <v>350</v>
      </c>
      <c r="T64" s="1" t="s">
        <v>255</v>
      </c>
      <c r="U64" s="1" t="s">
        <v>255</v>
      </c>
      <c r="V64" s="1" t="s">
        <v>256</v>
      </c>
      <c r="W64" s="15">
        <v>46247</v>
      </c>
      <c r="X64" s="11" t="s">
        <v>380</v>
      </c>
      <c r="Y64" s="11" t="s">
        <v>380</v>
      </c>
      <c r="Z64" s="11" t="s">
        <v>380</v>
      </c>
      <c r="AA64" s="11"/>
      <c r="AB64" s="11"/>
      <c r="AC64" s="11"/>
      <c r="AD64" s="11" t="s">
        <v>380</v>
      </c>
      <c r="AE64" s="11" t="s">
        <v>380</v>
      </c>
      <c r="AF64" s="11"/>
    </row>
    <row r="65" spans="1:32" ht="14.25" x14ac:dyDescent="0.45">
      <c r="A65" s="13" t="s">
        <v>351</v>
      </c>
      <c r="B65" s="13" t="s">
        <v>352</v>
      </c>
      <c r="C65" s="1" t="s">
        <v>332</v>
      </c>
      <c r="E65" s="1" t="s">
        <v>143</v>
      </c>
      <c r="F65" s="1" t="s">
        <v>143</v>
      </c>
      <c r="G65" s="1" t="s">
        <v>143</v>
      </c>
      <c r="H65" s="1" t="s">
        <v>19</v>
      </c>
      <c r="I65" s="1" t="s">
        <v>19</v>
      </c>
      <c r="J65" s="1" t="s">
        <v>143</v>
      </c>
      <c r="K65" s="1" t="s">
        <v>19</v>
      </c>
      <c r="O65" s="14">
        <f t="shared" si="2"/>
        <v>0.5714285714285714</v>
      </c>
      <c r="P65" s="1" t="s">
        <v>353</v>
      </c>
      <c r="Q65" s="1" t="s">
        <v>354</v>
      </c>
      <c r="R65" s="1" t="s">
        <v>355</v>
      </c>
      <c r="T65" s="1" t="s">
        <v>255</v>
      </c>
      <c r="U65" s="1" t="s">
        <v>255</v>
      </c>
      <c r="V65" s="1" t="s">
        <v>256</v>
      </c>
      <c r="W65" s="15">
        <v>46247</v>
      </c>
      <c r="X65" s="11" t="s">
        <v>380</v>
      </c>
      <c r="Y65" s="11" t="s">
        <v>380</v>
      </c>
      <c r="Z65" s="11" t="s">
        <v>380</v>
      </c>
      <c r="AA65" s="11"/>
      <c r="AB65" s="11"/>
      <c r="AC65" s="11"/>
      <c r="AD65" s="11" t="s">
        <v>380</v>
      </c>
      <c r="AE65" s="11" t="s">
        <v>380</v>
      </c>
      <c r="AF65" s="11"/>
    </row>
    <row r="66" spans="1:32" ht="14.25" x14ac:dyDescent="0.45">
      <c r="A66" s="13" t="s">
        <v>356</v>
      </c>
      <c r="B66" s="13" t="s">
        <v>357</v>
      </c>
      <c r="C66" s="1" t="s">
        <v>332</v>
      </c>
      <c r="E66" s="1" t="s">
        <v>143</v>
      </c>
      <c r="F66" s="1" t="s">
        <v>143</v>
      </c>
      <c r="G66" s="1" t="s">
        <v>143</v>
      </c>
      <c r="H66" s="1" t="s">
        <v>19</v>
      </c>
      <c r="I66" s="1" t="s">
        <v>19</v>
      </c>
      <c r="J66" s="1" t="s">
        <v>143</v>
      </c>
      <c r="K66" s="1" t="s">
        <v>19</v>
      </c>
      <c r="O66" s="14">
        <f t="shared" si="2"/>
        <v>0.5714285714285714</v>
      </c>
      <c r="P66" s="1" t="s">
        <v>358</v>
      </c>
      <c r="Q66" s="1" t="s">
        <v>359</v>
      </c>
      <c r="R66" s="1" t="s">
        <v>360</v>
      </c>
      <c r="T66" s="1" t="s">
        <v>255</v>
      </c>
      <c r="U66" s="1" t="s">
        <v>255</v>
      </c>
      <c r="V66" s="1" t="s">
        <v>256</v>
      </c>
      <c r="W66" s="15">
        <v>46247</v>
      </c>
      <c r="X66" s="11" t="s">
        <v>380</v>
      </c>
      <c r="Y66" s="11" t="s">
        <v>380</v>
      </c>
      <c r="Z66" s="11" t="s">
        <v>380</v>
      </c>
      <c r="AA66" s="11"/>
      <c r="AB66" s="11"/>
      <c r="AC66" s="11"/>
      <c r="AD66" s="11" t="s">
        <v>380</v>
      </c>
      <c r="AE66" s="11" t="s">
        <v>380</v>
      </c>
      <c r="AF66" s="11"/>
    </row>
    <row r="67" spans="1:32" ht="14.25" x14ac:dyDescent="0.45">
      <c r="A67" s="13" t="s">
        <v>361</v>
      </c>
      <c r="B67" s="13" t="s">
        <v>362</v>
      </c>
      <c r="C67" s="1" t="s">
        <v>332</v>
      </c>
      <c r="E67" s="1" t="s">
        <v>143</v>
      </c>
      <c r="F67" s="1" t="s">
        <v>143</v>
      </c>
      <c r="G67" s="1" t="s">
        <v>143</v>
      </c>
      <c r="H67" s="1" t="s">
        <v>19</v>
      </c>
      <c r="I67" s="1" t="s">
        <v>19</v>
      </c>
      <c r="J67" s="1" t="s">
        <v>143</v>
      </c>
      <c r="K67" s="1" t="s">
        <v>19</v>
      </c>
      <c r="O67" s="14">
        <f t="shared" si="2"/>
        <v>0.5714285714285714</v>
      </c>
      <c r="P67" s="1" t="s">
        <v>363</v>
      </c>
      <c r="Q67" s="1" t="s">
        <v>364</v>
      </c>
      <c r="R67" s="1" t="s">
        <v>365</v>
      </c>
      <c r="T67" s="1" t="s">
        <v>255</v>
      </c>
      <c r="U67" s="1" t="s">
        <v>255</v>
      </c>
      <c r="V67" s="1" t="s">
        <v>256</v>
      </c>
      <c r="W67" s="15">
        <v>46248</v>
      </c>
      <c r="X67" s="11" t="s">
        <v>380</v>
      </c>
      <c r="Y67" s="11" t="s">
        <v>380</v>
      </c>
      <c r="Z67" s="11" t="s">
        <v>380</v>
      </c>
      <c r="AA67" s="11"/>
      <c r="AB67" s="11"/>
      <c r="AC67" s="11"/>
      <c r="AD67" s="11" t="s">
        <v>380</v>
      </c>
      <c r="AE67" s="11" t="s">
        <v>380</v>
      </c>
      <c r="AF67" s="11"/>
    </row>
    <row r="68" spans="1:32" ht="14.25" x14ac:dyDescent="0.45">
      <c r="A68" s="13" t="s">
        <v>366</v>
      </c>
      <c r="B68" s="13" t="s">
        <v>367</v>
      </c>
      <c r="C68" s="1" t="s">
        <v>332</v>
      </c>
      <c r="E68" s="1" t="s">
        <v>143</v>
      </c>
      <c r="F68" s="1" t="s">
        <v>143</v>
      </c>
      <c r="G68" s="1" t="s">
        <v>143</v>
      </c>
      <c r="H68" s="1" t="s">
        <v>19</v>
      </c>
      <c r="I68" s="1" t="s">
        <v>19</v>
      </c>
      <c r="J68" s="1" t="s">
        <v>143</v>
      </c>
      <c r="K68" s="1" t="s">
        <v>19</v>
      </c>
      <c r="O68" s="14">
        <f t="shared" si="2"/>
        <v>0.5714285714285714</v>
      </c>
      <c r="P68" s="1" t="s">
        <v>368</v>
      </c>
      <c r="Q68" s="1" t="s">
        <v>369</v>
      </c>
      <c r="R68" s="1" t="s">
        <v>370</v>
      </c>
      <c r="T68" s="1" t="s">
        <v>255</v>
      </c>
      <c r="U68" s="1" t="s">
        <v>255</v>
      </c>
      <c r="V68" s="1" t="s">
        <v>256</v>
      </c>
      <c r="W68" s="15">
        <v>46248</v>
      </c>
      <c r="X68" s="11" t="s">
        <v>380</v>
      </c>
      <c r="Y68" s="11" t="s">
        <v>380</v>
      </c>
      <c r="Z68" s="11" t="s">
        <v>380</v>
      </c>
      <c r="AA68" s="11"/>
      <c r="AB68" s="11"/>
      <c r="AC68" s="11"/>
      <c r="AD68" s="11" t="s">
        <v>380</v>
      </c>
      <c r="AE68" s="11" t="s">
        <v>380</v>
      </c>
      <c r="AF68" s="11"/>
    </row>
    <row r="69" spans="1:32" ht="14.25" x14ac:dyDescent="0.45">
      <c r="A69" s="13" t="s">
        <v>381</v>
      </c>
      <c r="B69" s="13" t="s">
        <v>382</v>
      </c>
      <c r="C69" s="1" t="s">
        <v>52</v>
      </c>
      <c r="E69" s="1" t="s">
        <v>143</v>
      </c>
      <c r="F69" s="1" t="s">
        <v>143</v>
      </c>
      <c r="G69" s="1" t="s">
        <v>143</v>
      </c>
      <c r="H69" s="1" t="s">
        <v>19</v>
      </c>
      <c r="I69" s="1" t="s">
        <v>19</v>
      </c>
      <c r="J69" s="1" t="s">
        <v>143</v>
      </c>
      <c r="K69" s="1" t="s">
        <v>19</v>
      </c>
      <c r="O69" s="14">
        <f t="shared" ref="O69:O74" si="3">COUNTIF(E69:K69,"Complete")/7</f>
        <v>0.5714285714285714</v>
      </c>
      <c r="P69" s="1" t="s">
        <v>383</v>
      </c>
      <c r="Q69" s="1" t="s">
        <v>381</v>
      </c>
      <c r="R69" s="1" t="s">
        <v>384</v>
      </c>
      <c r="T69" s="1" t="s">
        <v>255</v>
      </c>
      <c r="U69" s="1" t="s">
        <v>255</v>
      </c>
      <c r="V69" s="1" t="s">
        <v>256</v>
      </c>
      <c r="W69" s="15">
        <v>46248</v>
      </c>
      <c r="X69" s="11" t="s">
        <v>380</v>
      </c>
      <c r="Y69" s="11" t="s">
        <v>380</v>
      </c>
      <c r="Z69" s="11" t="s">
        <v>380</v>
      </c>
      <c r="AA69" s="11"/>
      <c r="AB69" s="11"/>
      <c r="AC69" s="11"/>
      <c r="AD69" s="11" t="s">
        <v>380</v>
      </c>
      <c r="AE69" s="11" t="s">
        <v>380</v>
      </c>
      <c r="AF69" s="11"/>
    </row>
    <row r="70" spans="1:32" ht="14.25" x14ac:dyDescent="0.45">
      <c r="A70" s="13" t="s">
        <v>385</v>
      </c>
      <c r="B70" s="13" t="s">
        <v>386</v>
      </c>
      <c r="C70" s="1" t="s">
        <v>387</v>
      </c>
      <c r="E70" s="1" t="s">
        <v>143</v>
      </c>
      <c r="F70" s="1" t="s">
        <v>143</v>
      </c>
      <c r="G70" s="1" t="s">
        <v>143</v>
      </c>
      <c r="H70" s="1" t="s">
        <v>19</v>
      </c>
      <c r="I70" s="1" t="s">
        <v>19</v>
      </c>
      <c r="J70" s="1" t="s">
        <v>143</v>
      </c>
      <c r="K70" s="1" t="s">
        <v>19</v>
      </c>
      <c r="O70" s="14">
        <f t="shared" si="3"/>
        <v>0.5714285714285714</v>
      </c>
      <c r="P70" s="1" t="s">
        <v>388</v>
      </c>
      <c r="Q70" s="1" t="s">
        <v>389</v>
      </c>
      <c r="R70" s="1" t="s">
        <v>390</v>
      </c>
      <c r="T70" s="1" t="s">
        <v>255</v>
      </c>
      <c r="U70" s="1" t="s">
        <v>255</v>
      </c>
      <c r="V70" s="1" t="s">
        <v>256</v>
      </c>
      <c r="W70" s="15">
        <v>46248</v>
      </c>
      <c r="X70" s="11" t="s">
        <v>380</v>
      </c>
      <c r="Y70" s="11" t="s">
        <v>380</v>
      </c>
      <c r="Z70" s="11" t="s">
        <v>380</v>
      </c>
      <c r="AA70" s="11"/>
      <c r="AB70" s="11"/>
      <c r="AC70" s="11"/>
      <c r="AD70" s="11" t="s">
        <v>380</v>
      </c>
      <c r="AE70" s="11" t="s">
        <v>380</v>
      </c>
      <c r="AF70" s="11"/>
    </row>
    <row r="71" spans="1:32" ht="14.25" x14ac:dyDescent="0.45">
      <c r="A71" s="13" t="s">
        <v>391</v>
      </c>
      <c r="B71" s="13" t="s">
        <v>392</v>
      </c>
      <c r="C71" s="1" t="s">
        <v>387</v>
      </c>
      <c r="E71" s="1" t="s">
        <v>143</v>
      </c>
      <c r="F71" s="1" t="s">
        <v>143</v>
      </c>
      <c r="G71" s="1" t="s">
        <v>143</v>
      </c>
      <c r="H71" s="1" t="s">
        <v>19</v>
      </c>
      <c r="I71" s="1" t="s">
        <v>19</v>
      </c>
      <c r="J71" s="1" t="s">
        <v>143</v>
      </c>
      <c r="K71" s="1" t="s">
        <v>19</v>
      </c>
      <c r="O71" s="14">
        <f t="shared" si="3"/>
        <v>0.5714285714285714</v>
      </c>
      <c r="P71" s="1" t="s">
        <v>393</v>
      </c>
      <c r="Q71" s="1" t="s">
        <v>394</v>
      </c>
      <c r="R71" s="1" t="s">
        <v>395</v>
      </c>
      <c r="T71" s="1" t="s">
        <v>255</v>
      </c>
      <c r="U71" s="1" t="s">
        <v>255</v>
      </c>
      <c r="V71" s="1" t="s">
        <v>256</v>
      </c>
      <c r="W71" s="15">
        <v>46248</v>
      </c>
      <c r="X71" s="11" t="s">
        <v>380</v>
      </c>
      <c r="Y71" s="11" t="s">
        <v>380</v>
      </c>
      <c r="Z71" s="11" t="s">
        <v>380</v>
      </c>
      <c r="AA71" s="11"/>
      <c r="AB71" s="11"/>
      <c r="AC71" s="11"/>
      <c r="AD71" s="11" t="s">
        <v>380</v>
      </c>
      <c r="AE71" s="11" t="s">
        <v>380</v>
      </c>
      <c r="AF71" s="11"/>
    </row>
    <row r="72" spans="1:32" ht="14.25" x14ac:dyDescent="0.45">
      <c r="A72" s="13" t="s">
        <v>396</v>
      </c>
      <c r="B72" s="13" t="s">
        <v>397</v>
      </c>
      <c r="C72" s="1" t="s">
        <v>398</v>
      </c>
      <c r="E72" s="1" t="s">
        <v>143</v>
      </c>
      <c r="F72" s="1" t="s">
        <v>143</v>
      </c>
      <c r="G72" s="1" t="s">
        <v>143</v>
      </c>
      <c r="H72" s="1" t="s">
        <v>19</v>
      </c>
      <c r="I72" s="1" t="s">
        <v>19</v>
      </c>
      <c r="J72" s="1" t="s">
        <v>143</v>
      </c>
      <c r="K72" s="1" t="s">
        <v>19</v>
      </c>
      <c r="O72" s="14">
        <f t="shared" si="3"/>
        <v>0.5714285714285714</v>
      </c>
      <c r="P72" s="1" t="s">
        <v>399</v>
      </c>
      <c r="Q72" s="1" t="s">
        <v>400</v>
      </c>
      <c r="R72" s="1" t="s">
        <v>401</v>
      </c>
      <c r="T72" s="1" t="s">
        <v>255</v>
      </c>
      <c r="U72" s="1" t="s">
        <v>255</v>
      </c>
      <c r="V72" s="1" t="s">
        <v>256</v>
      </c>
      <c r="W72" s="15">
        <v>46251</v>
      </c>
      <c r="X72" s="11" t="s">
        <v>380</v>
      </c>
      <c r="Y72" s="11" t="s">
        <v>380</v>
      </c>
      <c r="Z72" s="11" t="s">
        <v>380</v>
      </c>
      <c r="AA72" s="11"/>
      <c r="AB72" s="11"/>
      <c r="AC72" s="11"/>
      <c r="AD72" s="11" t="s">
        <v>380</v>
      </c>
      <c r="AE72" s="11" t="s">
        <v>380</v>
      </c>
      <c r="AF72" s="11"/>
    </row>
    <row r="73" spans="1:32" ht="14.25" x14ac:dyDescent="0.45">
      <c r="A73" s="13" t="s">
        <v>402</v>
      </c>
      <c r="B73" s="13" t="s">
        <v>403</v>
      </c>
      <c r="C73" s="1" t="s">
        <v>404</v>
      </c>
      <c r="E73" s="1" t="s">
        <v>143</v>
      </c>
      <c r="F73" s="1" t="s">
        <v>143</v>
      </c>
      <c r="G73" s="1" t="s">
        <v>143</v>
      </c>
      <c r="H73" s="1" t="s">
        <v>19</v>
      </c>
      <c r="I73" s="1" t="s">
        <v>19</v>
      </c>
      <c r="J73" s="1" t="s">
        <v>143</v>
      </c>
      <c r="K73" s="1" t="s">
        <v>19</v>
      </c>
      <c r="O73" s="14">
        <f t="shared" si="3"/>
        <v>0.5714285714285714</v>
      </c>
      <c r="P73" s="1" t="s">
        <v>405</v>
      </c>
      <c r="Q73" s="1" t="s">
        <v>406</v>
      </c>
      <c r="R73" s="1" t="s">
        <v>407</v>
      </c>
      <c r="T73" s="1" t="s">
        <v>255</v>
      </c>
      <c r="U73" s="1" t="s">
        <v>255</v>
      </c>
      <c r="V73" s="1" t="s">
        <v>256</v>
      </c>
      <c r="W73" s="15">
        <v>46248</v>
      </c>
      <c r="X73" s="11" t="s">
        <v>380</v>
      </c>
      <c r="Y73" s="11" t="s">
        <v>380</v>
      </c>
      <c r="Z73" s="11" t="s">
        <v>380</v>
      </c>
      <c r="AA73" s="11"/>
      <c r="AB73" s="11"/>
      <c r="AC73" s="11"/>
      <c r="AD73" s="11" t="s">
        <v>380</v>
      </c>
      <c r="AE73" s="11" t="s">
        <v>380</v>
      </c>
      <c r="AF73" s="11"/>
    </row>
    <row r="74" spans="1:32" ht="14.25" x14ac:dyDescent="0.45">
      <c r="A74" s="13" t="s">
        <v>408</v>
      </c>
      <c r="B74" s="13" t="s">
        <v>409</v>
      </c>
      <c r="C74" s="1" t="s">
        <v>410</v>
      </c>
      <c r="E74" s="1" t="s">
        <v>143</v>
      </c>
      <c r="F74" s="1" t="s">
        <v>143</v>
      </c>
      <c r="G74" s="1" t="s">
        <v>143</v>
      </c>
      <c r="H74" s="1" t="s">
        <v>19</v>
      </c>
      <c r="I74" s="1" t="s">
        <v>19</v>
      </c>
      <c r="J74" s="1" t="s">
        <v>143</v>
      </c>
      <c r="K74" s="1" t="s">
        <v>19</v>
      </c>
      <c r="O74" s="14">
        <f t="shared" si="3"/>
        <v>0.5714285714285714</v>
      </c>
      <c r="P74" s="1" t="s">
        <v>413</v>
      </c>
      <c r="Q74" s="1" t="s">
        <v>411</v>
      </c>
      <c r="R74" s="1" t="s">
        <v>412</v>
      </c>
      <c r="T74" s="1" t="s">
        <v>255</v>
      </c>
      <c r="U74" s="1" t="s">
        <v>255</v>
      </c>
      <c r="V74" s="1" t="s">
        <v>256</v>
      </c>
      <c r="W74" s="15">
        <v>46248</v>
      </c>
      <c r="X74" s="11" t="s">
        <v>380</v>
      </c>
      <c r="Y74" s="11" t="s">
        <v>380</v>
      </c>
      <c r="Z74" s="11" t="s">
        <v>380</v>
      </c>
      <c r="AA74" s="11"/>
      <c r="AB74" s="11"/>
      <c r="AC74" s="11"/>
      <c r="AD74" s="11" t="s">
        <v>380</v>
      </c>
      <c r="AE74" s="11" t="s">
        <v>380</v>
      </c>
      <c r="AF74" s="11"/>
    </row>
    <row r="75" spans="1:32" ht="14.25" x14ac:dyDescent="0.45">
      <c r="A75" s="13" t="s">
        <v>414</v>
      </c>
      <c r="B75" s="13" t="s">
        <v>415</v>
      </c>
      <c r="C75" s="1" t="s">
        <v>416</v>
      </c>
      <c r="E75" s="1" t="s">
        <v>143</v>
      </c>
      <c r="F75" s="1" t="s">
        <v>143</v>
      </c>
      <c r="G75" s="1" t="s">
        <v>143</v>
      </c>
      <c r="H75" s="1" t="s">
        <v>19</v>
      </c>
      <c r="I75" s="1" t="s">
        <v>19</v>
      </c>
      <c r="J75" s="1" t="s">
        <v>143</v>
      </c>
      <c r="K75" s="1" t="s">
        <v>19</v>
      </c>
      <c r="O75" s="14">
        <f t="shared" ref="O75:O92" si="4">COUNTIF(E75:K75,"Complete")/7</f>
        <v>0.5714285714285714</v>
      </c>
      <c r="P75" s="1" t="s">
        <v>417</v>
      </c>
      <c r="Q75" s="1" t="s">
        <v>414</v>
      </c>
      <c r="R75" s="1" t="s">
        <v>418</v>
      </c>
      <c r="T75" s="1" t="s">
        <v>255</v>
      </c>
      <c r="U75" s="1" t="s">
        <v>255</v>
      </c>
      <c r="V75" s="1" t="s">
        <v>256</v>
      </c>
      <c r="W75" s="15">
        <v>46248</v>
      </c>
      <c r="X75" s="11" t="s">
        <v>380</v>
      </c>
      <c r="Y75" s="11" t="s">
        <v>380</v>
      </c>
      <c r="Z75" s="11" t="s">
        <v>380</v>
      </c>
      <c r="AA75" s="11"/>
      <c r="AB75" s="11"/>
      <c r="AC75" s="11"/>
      <c r="AD75" s="11" t="s">
        <v>380</v>
      </c>
      <c r="AE75" s="11" t="s">
        <v>380</v>
      </c>
      <c r="AF75" s="11"/>
    </row>
    <row r="76" spans="1:32" ht="14.25" x14ac:dyDescent="0.45">
      <c r="A76" s="13" t="s">
        <v>419</v>
      </c>
      <c r="B76" s="13" t="s">
        <v>420</v>
      </c>
      <c r="C76" s="1" t="s">
        <v>416</v>
      </c>
      <c r="E76" s="1" t="s">
        <v>143</v>
      </c>
      <c r="F76" s="1" t="s">
        <v>143</v>
      </c>
      <c r="G76" s="1" t="s">
        <v>143</v>
      </c>
      <c r="H76" s="1" t="s">
        <v>19</v>
      </c>
      <c r="I76" s="1" t="s">
        <v>19</v>
      </c>
      <c r="J76" s="1" t="s">
        <v>143</v>
      </c>
      <c r="K76" s="1" t="s">
        <v>19</v>
      </c>
      <c r="O76" s="14">
        <f t="shared" si="4"/>
        <v>0.5714285714285714</v>
      </c>
      <c r="P76" s="1" t="s">
        <v>421</v>
      </c>
      <c r="Q76" s="1" t="s">
        <v>419</v>
      </c>
      <c r="R76" s="1" t="s">
        <v>422</v>
      </c>
      <c r="T76" s="1" t="s">
        <v>255</v>
      </c>
      <c r="U76" s="1" t="s">
        <v>255</v>
      </c>
      <c r="V76" s="1" t="s">
        <v>256</v>
      </c>
      <c r="W76" s="15">
        <v>46249</v>
      </c>
      <c r="X76" s="11" t="s">
        <v>380</v>
      </c>
      <c r="Y76" s="11" t="s">
        <v>380</v>
      </c>
      <c r="Z76" s="11" t="s">
        <v>380</v>
      </c>
      <c r="AA76" s="11"/>
      <c r="AB76" s="11"/>
      <c r="AC76" s="11"/>
      <c r="AD76" s="11" t="s">
        <v>380</v>
      </c>
      <c r="AE76" s="11" t="s">
        <v>380</v>
      </c>
      <c r="AF76" s="11"/>
    </row>
    <row r="77" spans="1:32" ht="14.25" x14ac:dyDescent="0.45">
      <c r="A77" s="13" t="s">
        <v>423</v>
      </c>
      <c r="B77" s="13" t="s">
        <v>424</v>
      </c>
      <c r="C77" s="1" t="s">
        <v>425</v>
      </c>
      <c r="E77" s="1" t="s">
        <v>143</v>
      </c>
      <c r="F77" s="1" t="s">
        <v>143</v>
      </c>
      <c r="G77" s="1" t="s">
        <v>143</v>
      </c>
      <c r="H77" s="1" t="s">
        <v>19</v>
      </c>
      <c r="I77" s="1" t="s">
        <v>19</v>
      </c>
      <c r="J77" s="1" t="s">
        <v>143</v>
      </c>
      <c r="K77" s="1" t="s">
        <v>19</v>
      </c>
      <c r="O77" s="14">
        <f t="shared" si="4"/>
        <v>0.5714285714285714</v>
      </c>
      <c r="P77" s="1" t="s">
        <v>426</v>
      </c>
      <c r="Q77" s="1" t="s">
        <v>423</v>
      </c>
      <c r="R77" s="1" t="s">
        <v>427</v>
      </c>
      <c r="T77" s="1" t="s">
        <v>255</v>
      </c>
      <c r="U77" s="1" t="s">
        <v>255</v>
      </c>
      <c r="V77" s="1" t="s">
        <v>256</v>
      </c>
      <c r="W77" s="15">
        <v>46249</v>
      </c>
      <c r="X77" s="11" t="s">
        <v>380</v>
      </c>
      <c r="Y77" s="11" t="s">
        <v>380</v>
      </c>
      <c r="Z77" s="11" t="s">
        <v>380</v>
      </c>
      <c r="AA77" s="11"/>
      <c r="AB77" s="11"/>
      <c r="AC77" s="11"/>
      <c r="AD77" s="11" t="s">
        <v>380</v>
      </c>
      <c r="AE77" s="11" t="s">
        <v>380</v>
      </c>
      <c r="AF77" s="11"/>
    </row>
    <row r="78" spans="1:32" ht="14.25" x14ac:dyDescent="0.45">
      <c r="A78" s="13" t="s">
        <v>428</v>
      </c>
      <c r="B78" s="13" t="s">
        <v>429</v>
      </c>
      <c r="C78" s="1" t="s">
        <v>430</v>
      </c>
      <c r="E78" s="1" t="s">
        <v>143</v>
      </c>
      <c r="F78" s="1" t="s">
        <v>143</v>
      </c>
      <c r="G78" s="1" t="s">
        <v>143</v>
      </c>
      <c r="H78" s="1" t="s">
        <v>19</v>
      </c>
      <c r="I78" s="1" t="s">
        <v>19</v>
      </c>
      <c r="J78" s="1" t="s">
        <v>179</v>
      </c>
      <c r="K78" s="1" t="s">
        <v>19</v>
      </c>
      <c r="O78" s="14">
        <f t="shared" si="4"/>
        <v>0.42857142857142855</v>
      </c>
      <c r="P78" s="1" t="s">
        <v>433</v>
      </c>
      <c r="Q78" s="1" t="s">
        <v>431</v>
      </c>
      <c r="R78" s="1" t="s">
        <v>432</v>
      </c>
      <c r="T78" s="1" t="s">
        <v>255</v>
      </c>
      <c r="U78" s="1" t="s">
        <v>179</v>
      </c>
      <c r="V78" s="1" t="s">
        <v>256</v>
      </c>
      <c r="W78" s="15">
        <v>46248</v>
      </c>
      <c r="X78" s="11" t="s">
        <v>380</v>
      </c>
      <c r="Y78" s="11" t="s">
        <v>380</v>
      </c>
      <c r="Z78" s="11"/>
      <c r="AA78" s="11"/>
      <c r="AB78" s="11"/>
      <c r="AC78" s="11"/>
      <c r="AD78" s="11" t="s">
        <v>380</v>
      </c>
      <c r="AE78" s="11" t="s">
        <v>380</v>
      </c>
      <c r="AF78" s="11"/>
    </row>
    <row r="79" spans="1:32" ht="14.25" x14ac:dyDescent="0.45">
      <c r="A79" s="13" t="s">
        <v>434</v>
      </c>
      <c r="B79" s="13" t="s">
        <v>435</v>
      </c>
      <c r="C79" s="1" t="s">
        <v>436</v>
      </c>
      <c r="E79" s="1" t="s">
        <v>19</v>
      </c>
      <c r="F79" s="1" t="s">
        <v>19</v>
      </c>
      <c r="G79" s="1" t="s">
        <v>19</v>
      </c>
      <c r="J79" s="1" t="s">
        <v>19</v>
      </c>
      <c r="O79" s="14">
        <f t="shared" si="4"/>
        <v>0</v>
      </c>
      <c r="P79" s="1" t="s">
        <v>437</v>
      </c>
      <c r="V79" s="1" t="s">
        <v>438</v>
      </c>
    </row>
    <row r="80" spans="1:32" ht="14.25" x14ac:dyDescent="0.45">
      <c r="A80" s="13" t="s">
        <v>439</v>
      </c>
      <c r="B80" s="13" t="s">
        <v>440</v>
      </c>
      <c r="C80" s="1" t="s">
        <v>436</v>
      </c>
      <c r="E80" s="1" t="s">
        <v>143</v>
      </c>
      <c r="F80" s="1" t="s">
        <v>143</v>
      </c>
      <c r="G80" s="1" t="s">
        <v>143</v>
      </c>
      <c r="J80" s="1" t="s">
        <v>143</v>
      </c>
      <c r="K80" s="1" t="s">
        <v>143</v>
      </c>
      <c r="O80" s="14">
        <f t="shared" si="4"/>
        <v>0.7142857142857143</v>
      </c>
      <c r="P80" s="1" t="s">
        <v>609</v>
      </c>
      <c r="Q80" s="1" t="s">
        <v>610</v>
      </c>
      <c r="R80" s="1" t="s">
        <v>611</v>
      </c>
      <c r="T80" s="1" t="s">
        <v>255</v>
      </c>
      <c r="U80" s="1" t="s">
        <v>255</v>
      </c>
      <c r="V80" s="1" t="s">
        <v>256</v>
      </c>
      <c r="W80" s="15">
        <v>46260</v>
      </c>
      <c r="X80" s="1" t="s">
        <v>380</v>
      </c>
      <c r="Y80" s="1" t="s">
        <v>380</v>
      </c>
      <c r="Z80" s="1" t="s">
        <v>380</v>
      </c>
      <c r="AD80" s="1" t="s">
        <v>380</v>
      </c>
      <c r="AE80" s="1" t="s">
        <v>380</v>
      </c>
    </row>
    <row r="81" spans="1:31" ht="14.25" x14ac:dyDescent="0.45">
      <c r="A81" s="13" t="s">
        <v>441</v>
      </c>
      <c r="B81" s="13" t="s">
        <v>442</v>
      </c>
      <c r="C81" s="1" t="s">
        <v>436</v>
      </c>
      <c r="E81" s="1" t="s">
        <v>143</v>
      </c>
      <c r="F81" s="1" t="s">
        <v>143</v>
      </c>
      <c r="G81" s="1" t="s">
        <v>143</v>
      </c>
      <c r="J81" s="1" t="s">
        <v>143</v>
      </c>
      <c r="K81" s="1" t="s">
        <v>143</v>
      </c>
      <c r="O81" s="14">
        <f t="shared" si="4"/>
        <v>0.7142857142857143</v>
      </c>
      <c r="P81" s="1" t="s">
        <v>613</v>
      </c>
      <c r="Q81" s="1" t="s">
        <v>614</v>
      </c>
      <c r="R81" s="1" t="s">
        <v>615</v>
      </c>
      <c r="T81" s="1" t="s">
        <v>255</v>
      </c>
      <c r="U81" s="1" t="s">
        <v>255</v>
      </c>
      <c r="V81" s="1" t="s">
        <v>256</v>
      </c>
      <c r="W81" s="15">
        <v>46261</v>
      </c>
      <c r="X81" s="1" t="s">
        <v>380</v>
      </c>
      <c r="Y81" s="1" t="s">
        <v>380</v>
      </c>
      <c r="Z81" s="1" t="s">
        <v>380</v>
      </c>
      <c r="AD81" s="1" t="s">
        <v>380</v>
      </c>
      <c r="AE81" s="1" t="s">
        <v>380</v>
      </c>
    </row>
    <row r="82" spans="1:31" ht="14.25" x14ac:dyDescent="0.45">
      <c r="A82" s="13" t="s">
        <v>443</v>
      </c>
      <c r="B82" s="13" t="s">
        <v>444</v>
      </c>
      <c r="C82" s="1" t="s">
        <v>436</v>
      </c>
      <c r="E82" s="1" t="s">
        <v>143</v>
      </c>
      <c r="F82" s="1" t="s">
        <v>143</v>
      </c>
      <c r="G82" s="1" t="s">
        <v>143</v>
      </c>
      <c r="J82" s="1" t="s">
        <v>143</v>
      </c>
      <c r="K82" s="1" t="s">
        <v>143</v>
      </c>
      <c r="O82" s="14">
        <f t="shared" si="4"/>
        <v>0.7142857142857143</v>
      </c>
      <c r="P82" s="1" t="s">
        <v>607</v>
      </c>
      <c r="Q82" s="1" t="s">
        <v>588</v>
      </c>
      <c r="R82" s="1" t="s">
        <v>589</v>
      </c>
      <c r="T82" s="1" t="s">
        <v>255</v>
      </c>
      <c r="U82" s="1" t="s">
        <v>255</v>
      </c>
      <c r="V82" s="1" t="s">
        <v>256</v>
      </c>
      <c r="W82" s="15">
        <v>46260</v>
      </c>
      <c r="X82" s="1" t="s">
        <v>380</v>
      </c>
      <c r="Y82" s="1" t="s">
        <v>380</v>
      </c>
      <c r="Z82" s="1" t="s">
        <v>380</v>
      </c>
      <c r="AD82" s="1" t="s">
        <v>380</v>
      </c>
      <c r="AE82" s="1" t="s">
        <v>380</v>
      </c>
    </row>
    <row r="83" spans="1:31" ht="14.25" x14ac:dyDescent="0.45">
      <c r="A83" s="13" t="s">
        <v>445</v>
      </c>
      <c r="B83" s="13" t="s">
        <v>446</v>
      </c>
      <c r="C83" s="1" t="s">
        <v>436</v>
      </c>
      <c r="E83" s="1" t="s">
        <v>143</v>
      </c>
      <c r="F83" s="1" t="s">
        <v>143</v>
      </c>
      <c r="G83" s="1" t="s">
        <v>143</v>
      </c>
      <c r="J83" s="1" t="s">
        <v>143</v>
      </c>
      <c r="K83" s="1" t="s">
        <v>143</v>
      </c>
      <c r="O83" s="14">
        <f t="shared" si="4"/>
        <v>0.7142857142857143</v>
      </c>
      <c r="P83" s="1" t="s">
        <v>585</v>
      </c>
      <c r="Q83" s="1" t="s">
        <v>586</v>
      </c>
      <c r="R83" s="1" t="s">
        <v>587</v>
      </c>
      <c r="T83" s="1" t="s">
        <v>255</v>
      </c>
      <c r="U83" s="1" t="s">
        <v>255</v>
      </c>
      <c r="V83" s="1" t="s">
        <v>256</v>
      </c>
      <c r="W83" s="15">
        <v>46260</v>
      </c>
      <c r="X83" s="1" t="s">
        <v>380</v>
      </c>
      <c r="Y83" s="1" t="s">
        <v>380</v>
      </c>
      <c r="Z83" s="1" t="s">
        <v>380</v>
      </c>
      <c r="AD83" s="1" t="s">
        <v>380</v>
      </c>
      <c r="AE83" s="1" t="s">
        <v>380</v>
      </c>
    </row>
    <row r="84" spans="1:31" ht="14.25" x14ac:dyDescent="0.45">
      <c r="A84" s="13" t="s">
        <v>447</v>
      </c>
      <c r="B84" s="13" t="s">
        <v>448</v>
      </c>
      <c r="C84" s="1" t="s">
        <v>436</v>
      </c>
      <c r="E84" s="1" t="s">
        <v>143</v>
      </c>
      <c r="F84" s="1" t="s">
        <v>143</v>
      </c>
      <c r="G84" s="1" t="s">
        <v>143</v>
      </c>
      <c r="J84" s="1" t="s">
        <v>143</v>
      </c>
      <c r="K84" s="1" t="s">
        <v>143</v>
      </c>
      <c r="O84" s="14">
        <f t="shared" si="4"/>
        <v>0.7142857142857143</v>
      </c>
      <c r="P84" s="1" t="s">
        <v>602</v>
      </c>
      <c r="Q84" s="1" t="s">
        <v>603</v>
      </c>
      <c r="R84" s="1" t="s">
        <v>604</v>
      </c>
      <c r="T84" s="1" t="s">
        <v>255</v>
      </c>
      <c r="U84" s="1" t="s">
        <v>255</v>
      </c>
      <c r="V84" s="1" t="s">
        <v>256</v>
      </c>
      <c r="W84" s="15">
        <v>46260</v>
      </c>
      <c r="X84" s="1" t="s">
        <v>380</v>
      </c>
      <c r="Y84" s="1" t="s">
        <v>380</v>
      </c>
      <c r="Z84" s="1" t="s">
        <v>380</v>
      </c>
      <c r="AD84" s="1" t="s">
        <v>380</v>
      </c>
      <c r="AE84" s="1" t="s">
        <v>380</v>
      </c>
    </row>
    <row r="85" spans="1:31" ht="14.25" x14ac:dyDescent="0.45">
      <c r="A85" s="13" t="s">
        <v>449</v>
      </c>
      <c r="B85" s="13" t="s">
        <v>450</v>
      </c>
      <c r="C85" s="1" t="s">
        <v>436</v>
      </c>
      <c r="E85" s="1" t="s">
        <v>143</v>
      </c>
      <c r="F85" s="1" t="s">
        <v>143</v>
      </c>
      <c r="G85" s="1" t="s">
        <v>143</v>
      </c>
      <c r="J85" s="1" t="s">
        <v>143</v>
      </c>
      <c r="K85" s="1" t="s">
        <v>143</v>
      </c>
      <c r="O85" s="14">
        <f t="shared" si="4"/>
        <v>0.7142857142857143</v>
      </c>
      <c r="P85" s="1" t="s">
        <v>590</v>
      </c>
      <c r="Q85" s="1" t="s">
        <v>591</v>
      </c>
      <c r="R85" s="1" t="s">
        <v>592</v>
      </c>
      <c r="T85" s="1" t="s">
        <v>255</v>
      </c>
      <c r="U85" s="1" t="s">
        <v>255</v>
      </c>
      <c r="V85" s="1" t="s">
        <v>256</v>
      </c>
      <c r="W85" s="15">
        <v>46260</v>
      </c>
      <c r="X85" s="1" t="s">
        <v>380</v>
      </c>
      <c r="Y85" s="1" t="s">
        <v>380</v>
      </c>
      <c r="Z85" s="1" t="s">
        <v>380</v>
      </c>
      <c r="AD85" s="1" t="s">
        <v>380</v>
      </c>
      <c r="AE85" s="1" t="s">
        <v>380</v>
      </c>
    </row>
    <row r="86" spans="1:31" ht="14.25" x14ac:dyDescent="0.45">
      <c r="A86" s="13" t="s">
        <v>451</v>
      </c>
      <c r="B86" s="13" t="s">
        <v>452</v>
      </c>
      <c r="C86" s="1" t="s">
        <v>436</v>
      </c>
      <c r="E86" s="1" t="s">
        <v>19</v>
      </c>
      <c r="F86" s="1" t="s">
        <v>19</v>
      </c>
      <c r="G86" s="1" t="s">
        <v>19</v>
      </c>
      <c r="J86" s="1" t="s">
        <v>19</v>
      </c>
      <c r="O86" s="14">
        <f t="shared" si="4"/>
        <v>0</v>
      </c>
      <c r="P86" s="1" t="s">
        <v>437</v>
      </c>
      <c r="V86" s="1" t="s">
        <v>438</v>
      </c>
    </row>
    <row r="87" spans="1:31" ht="14.25" x14ac:dyDescent="0.45">
      <c r="A87" s="13" t="s">
        <v>453</v>
      </c>
      <c r="B87" s="13" t="s">
        <v>454</v>
      </c>
      <c r="C87" s="1" t="s">
        <v>436</v>
      </c>
      <c r="E87" s="1" t="s">
        <v>143</v>
      </c>
      <c r="F87" s="1" t="s">
        <v>143</v>
      </c>
      <c r="G87" s="1" t="s">
        <v>143</v>
      </c>
      <c r="J87" s="1" t="s">
        <v>143</v>
      </c>
      <c r="K87" s="1" t="s">
        <v>143</v>
      </c>
      <c r="O87" s="14">
        <f t="shared" si="4"/>
        <v>0.7142857142857143</v>
      </c>
      <c r="P87" s="1" t="s">
        <v>579</v>
      </c>
      <c r="Q87" s="1" t="s">
        <v>580</v>
      </c>
      <c r="R87" s="1" t="s">
        <v>581</v>
      </c>
      <c r="T87" s="1" t="s">
        <v>255</v>
      </c>
      <c r="U87" s="1" t="s">
        <v>255</v>
      </c>
      <c r="V87" s="1" t="s">
        <v>256</v>
      </c>
      <c r="W87" s="15">
        <v>46258</v>
      </c>
      <c r="X87" s="1" t="s">
        <v>380</v>
      </c>
      <c r="Y87" s="1" t="s">
        <v>380</v>
      </c>
      <c r="Z87" s="1" t="s">
        <v>380</v>
      </c>
      <c r="AD87" s="1" t="s">
        <v>380</v>
      </c>
      <c r="AE87" s="1" t="s">
        <v>380</v>
      </c>
    </row>
    <row r="88" spans="1:31" ht="14.25" x14ac:dyDescent="0.45">
      <c r="A88" s="13" t="s">
        <v>455</v>
      </c>
      <c r="B88" s="13" t="s">
        <v>456</v>
      </c>
      <c r="C88" s="1" t="s">
        <v>436</v>
      </c>
      <c r="E88" s="1" t="s">
        <v>19</v>
      </c>
      <c r="F88" s="1" t="s">
        <v>19</v>
      </c>
      <c r="G88" s="1" t="s">
        <v>19</v>
      </c>
      <c r="J88" s="1" t="s">
        <v>19</v>
      </c>
      <c r="O88" s="14">
        <f t="shared" si="4"/>
        <v>0</v>
      </c>
      <c r="P88" s="1" t="s">
        <v>437</v>
      </c>
      <c r="V88" s="1" t="s">
        <v>438</v>
      </c>
    </row>
    <row r="89" spans="1:31" ht="14.25" x14ac:dyDescent="0.45">
      <c r="A89" s="13" t="s">
        <v>457</v>
      </c>
      <c r="B89" s="13" t="s">
        <v>458</v>
      </c>
      <c r="C89" s="1" t="s">
        <v>459</v>
      </c>
      <c r="E89" s="1" t="s">
        <v>143</v>
      </c>
      <c r="F89" s="1" t="s">
        <v>143</v>
      </c>
      <c r="G89" s="1" t="s">
        <v>143</v>
      </c>
      <c r="J89" s="1" t="s">
        <v>143</v>
      </c>
      <c r="K89" s="1" t="s">
        <v>143</v>
      </c>
      <c r="O89" s="14">
        <f t="shared" si="4"/>
        <v>0.7142857142857143</v>
      </c>
      <c r="P89" s="1" t="s">
        <v>542</v>
      </c>
      <c r="Q89" s="1" t="s">
        <v>543</v>
      </c>
      <c r="R89" s="1" t="s">
        <v>544</v>
      </c>
      <c r="T89" s="1" t="s">
        <v>255</v>
      </c>
      <c r="U89" s="1" t="s">
        <v>255</v>
      </c>
      <c r="V89" s="1" t="s">
        <v>256</v>
      </c>
      <c r="W89" s="15">
        <v>46251</v>
      </c>
      <c r="X89" s="1" t="s">
        <v>380</v>
      </c>
      <c r="Y89" s="1" t="s">
        <v>380</v>
      </c>
      <c r="Z89" s="1" t="s">
        <v>380</v>
      </c>
      <c r="AD89" s="1" t="s">
        <v>380</v>
      </c>
      <c r="AE89" s="1" t="s">
        <v>380</v>
      </c>
    </row>
    <row r="90" spans="1:31" ht="14.25" x14ac:dyDescent="0.45">
      <c r="A90" s="13" t="s">
        <v>460</v>
      </c>
      <c r="B90" s="13" t="s">
        <v>461</v>
      </c>
      <c r="C90" s="1" t="s">
        <v>459</v>
      </c>
      <c r="E90" s="1" t="s">
        <v>143</v>
      </c>
      <c r="F90" s="1" t="s">
        <v>143</v>
      </c>
      <c r="G90" s="1" t="s">
        <v>143</v>
      </c>
      <c r="J90" s="1" t="s">
        <v>143</v>
      </c>
      <c r="K90" s="1" t="s">
        <v>143</v>
      </c>
      <c r="O90" s="14">
        <f t="shared" si="4"/>
        <v>0.7142857142857143</v>
      </c>
      <c r="P90" s="1" t="s">
        <v>554</v>
      </c>
      <c r="Q90" s="1" t="s">
        <v>555</v>
      </c>
      <c r="R90" s="1" t="s">
        <v>556</v>
      </c>
      <c r="T90" s="1" t="s">
        <v>255</v>
      </c>
      <c r="U90" s="1" t="s">
        <v>255</v>
      </c>
      <c r="V90" s="1" t="s">
        <v>256</v>
      </c>
      <c r="W90" s="15">
        <v>46253</v>
      </c>
      <c r="X90" s="1" t="s">
        <v>380</v>
      </c>
      <c r="Y90" s="1" t="s">
        <v>380</v>
      </c>
      <c r="Z90" s="1" t="s">
        <v>380</v>
      </c>
      <c r="AD90" s="1" t="s">
        <v>380</v>
      </c>
      <c r="AE90" s="1" t="s">
        <v>380</v>
      </c>
    </row>
    <row r="91" spans="1:31" ht="14.25" x14ac:dyDescent="0.45">
      <c r="A91" s="13" t="s">
        <v>462</v>
      </c>
      <c r="B91" s="13" t="s">
        <v>463</v>
      </c>
      <c r="C91" s="1" t="s">
        <v>459</v>
      </c>
      <c r="E91" s="1" t="s">
        <v>143</v>
      </c>
      <c r="F91" s="1" t="s">
        <v>143</v>
      </c>
      <c r="G91" s="1" t="s">
        <v>143</v>
      </c>
      <c r="J91" s="1" t="s">
        <v>143</v>
      </c>
      <c r="K91" s="1" t="s">
        <v>143</v>
      </c>
      <c r="O91" s="14">
        <f t="shared" si="4"/>
        <v>0.7142857142857143</v>
      </c>
      <c r="P91" s="1" t="s">
        <v>548</v>
      </c>
      <c r="Q91" s="1" t="s">
        <v>549</v>
      </c>
      <c r="R91" s="1" t="s">
        <v>550</v>
      </c>
      <c r="T91" s="1" t="s">
        <v>255</v>
      </c>
      <c r="U91" s="1" t="s">
        <v>255</v>
      </c>
      <c r="V91" s="1" t="s">
        <v>256</v>
      </c>
      <c r="W91" s="15">
        <v>46253</v>
      </c>
      <c r="X91" s="1" t="s">
        <v>380</v>
      </c>
      <c r="Y91" s="1" t="s">
        <v>380</v>
      </c>
      <c r="Z91" s="1" t="s">
        <v>380</v>
      </c>
      <c r="AD91" s="1" t="s">
        <v>380</v>
      </c>
      <c r="AE91" s="1" t="s">
        <v>380</v>
      </c>
    </row>
    <row r="92" spans="1:31" ht="14.25" x14ac:dyDescent="0.45">
      <c r="A92" s="13" t="s">
        <v>464</v>
      </c>
      <c r="B92" s="13" t="s">
        <v>465</v>
      </c>
      <c r="C92" s="1" t="s">
        <v>459</v>
      </c>
      <c r="E92" s="1" t="s">
        <v>143</v>
      </c>
      <c r="F92" s="1" t="s">
        <v>143</v>
      </c>
      <c r="G92" s="1" t="s">
        <v>143</v>
      </c>
      <c r="J92" s="1" t="s">
        <v>143</v>
      </c>
      <c r="O92" s="14">
        <f t="shared" si="4"/>
        <v>0.5714285714285714</v>
      </c>
      <c r="P92" s="1" t="s">
        <v>536</v>
      </c>
      <c r="Q92" s="1" t="s">
        <v>537</v>
      </c>
      <c r="R92" s="1" t="s">
        <v>538</v>
      </c>
      <c r="T92" s="1" t="s">
        <v>255</v>
      </c>
      <c r="U92" s="1" t="s">
        <v>255</v>
      </c>
      <c r="V92" s="1" t="s">
        <v>256</v>
      </c>
      <c r="W92" s="15">
        <v>46251</v>
      </c>
      <c r="X92" s="1" t="s">
        <v>380</v>
      </c>
      <c r="Y92" s="1" t="s">
        <v>380</v>
      </c>
      <c r="Z92" s="1" t="s">
        <v>380</v>
      </c>
      <c r="AD92" s="1" t="s">
        <v>380</v>
      </c>
      <c r="AE92" s="1" t="s">
        <v>380</v>
      </c>
    </row>
    <row r="93" spans="1:31" ht="14.25" x14ac:dyDescent="0.45">
      <c r="A93" s="13" t="s">
        <v>466</v>
      </c>
      <c r="B93" s="13" t="s">
        <v>467</v>
      </c>
      <c r="C93" s="1" t="s">
        <v>468</v>
      </c>
      <c r="E93" s="1" t="s">
        <v>19</v>
      </c>
      <c r="F93" s="1" t="s">
        <v>19</v>
      </c>
      <c r="G93" s="1" t="s">
        <v>19</v>
      </c>
      <c r="J93" s="1" t="s">
        <v>19</v>
      </c>
      <c r="O93" s="14">
        <f t="shared" ref="O93:O121" si="5">COUNTIF(E93:K93,"Complete")/7</f>
        <v>0</v>
      </c>
      <c r="P93" s="1" t="s">
        <v>469</v>
      </c>
      <c r="V93" s="1" t="s">
        <v>438</v>
      </c>
    </row>
    <row r="94" spans="1:31" ht="14.25" x14ac:dyDescent="0.45">
      <c r="A94" s="13" t="s">
        <v>470</v>
      </c>
      <c r="B94" s="13" t="s">
        <v>471</v>
      </c>
      <c r="C94" s="1" t="s">
        <v>472</v>
      </c>
      <c r="E94" s="1" t="s">
        <v>19</v>
      </c>
      <c r="F94" s="1" t="s">
        <v>19</v>
      </c>
      <c r="G94" s="1" t="s">
        <v>19</v>
      </c>
      <c r="J94" s="1" t="s">
        <v>19</v>
      </c>
      <c r="O94" s="14">
        <f t="shared" si="5"/>
        <v>0</v>
      </c>
      <c r="P94" s="1" t="s">
        <v>473</v>
      </c>
      <c r="V94" s="1" t="s">
        <v>474</v>
      </c>
    </row>
    <row r="95" spans="1:31" ht="14.25" x14ac:dyDescent="0.45">
      <c r="A95" s="13" t="s">
        <v>475</v>
      </c>
      <c r="B95" s="13" t="s">
        <v>476</v>
      </c>
      <c r="C95" s="1" t="s">
        <v>459</v>
      </c>
      <c r="E95" s="1" t="s">
        <v>143</v>
      </c>
      <c r="F95" s="1" t="s">
        <v>143</v>
      </c>
      <c r="G95" s="1" t="s">
        <v>143</v>
      </c>
      <c r="J95" s="1" t="s">
        <v>143</v>
      </c>
      <c r="O95" s="14">
        <f t="shared" si="5"/>
        <v>0.5714285714285714</v>
      </c>
      <c r="P95" s="1" t="s">
        <v>539</v>
      </c>
      <c r="Q95" s="1" t="s">
        <v>540</v>
      </c>
      <c r="R95" s="1" t="s">
        <v>541</v>
      </c>
      <c r="T95" s="1" t="s">
        <v>255</v>
      </c>
      <c r="U95" s="1" t="s">
        <v>255</v>
      </c>
      <c r="V95" s="1" t="s">
        <v>256</v>
      </c>
      <c r="W95" s="15">
        <v>46251</v>
      </c>
      <c r="X95" s="1" t="s">
        <v>380</v>
      </c>
      <c r="Y95" s="1" t="s">
        <v>380</v>
      </c>
      <c r="Z95" s="1" t="s">
        <v>380</v>
      </c>
      <c r="AD95" s="1" t="s">
        <v>380</v>
      </c>
      <c r="AE95" s="1" t="s">
        <v>380</v>
      </c>
    </row>
    <row r="96" spans="1:31" ht="14.25" x14ac:dyDescent="0.45">
      <c r="A96" s="13" t="s">
        <v>478</v>
      </c>
      <c r="B96" s="13" t="s">
        <v>479</v>
      </c>
      <c r="C96" s="1" t="s">
        <v>459</v>
      </c>
      <c r="E96" s="1" t="s">
        <v>143</v>
      </c>
      <c r="F96" s="1" t="s">
        <v>143</v>
      </c>
      <c r="G96" s="1" t="s">
        <v>143</v>
      </c>
      <c r="J96" s="1" t="s">
        <v>143</v>
      </c>
      <c r="K96" s="1" t="s">
        <v>143</v>
      </c>
      <c r="O96" s="14">
        <f t="shared" si="5"/>
        <v>0.7142857142857143</v>
      </c>
      <c r="P96" s="1" t="s">
        <v>557</v>
      </c>
      <c r="Q96" s="1" t="s">
        <v>558</v>
      </c>
      <c r="R96" s="1" t="s">
        <v>559</v>
      </c>
      <c r="T96" s="1" t="s">
        <v>255</v>
      </c>
      <c r="U96" s="1" t="s">
        <v>255</v>
      </c>
      <c r="V96" s="1" t="s">
        <v>256</v>
      </c>
      <c r="W96" s="15">
        <v>46253</v>
      </c>
      <c r="X96" s="1" t="s">
        <v>380</v>
      </c>
      <c r="Y96" s="1" t="s">
        <v>380</v>
      </c>
      <c r="Z96" s="1" t="s">
        <v>380</v>
      </c>
      <c r="AD96" s="1" t="s">
        <v>380</v>
      </c>
      <c r="AE96" s="1" t="s">
        <v>380</v>
      </c>
    </row>
    <row r="97" spans="1:31" ht="14.25" x14ac:dyDescent="0.45">
      <c r="A97" s="13" t="s">
        <v>480</v>
      </c>
      <c r="B97" s="13" t="s">
        <v>481</v>
      </c>
      <c r="C97" s="1" t="s">
        <v>459</v>
      </c>
      <c r="E97" s="1" t="s">
        <v>143</v>
      </c>
      <c r="F97" s="1" t="s">
        <v>143</v>
      </c>
      <c r="G97" s="1" t="s">
        <v>143</v>
      </c>
      <c r="J97" s="1" t="s">
        <v>143</v>
      </c>
      <c r="K97" s="1" t="s">
        <v>143</v>
      </c>
      <c r="O97" s="14">
        <f t="shared" si="5"/>
        <v>0.7142857142857143</v>
      </c>
      <c r="P97" s="1" t="s">
        <v>570</v>
      </c>
      <c r="Q97" s="1" t="s">
        <v>560</v>
      </c>
      <c r="R97" s="1" t="s">
        <v>561</v>
      </c>
      <c r="T97" s="1" t="s">
        <v>255</v>
      </c>
      <c r="U97" s="1" t="s">
        <v>255</v>
      </c>
      <c r="V97" s="1" t="s">
        <v>256</v>
      </c>
      <c r="W97" s="15">
        <v>46255</v>
      </c>
      <c r="X97" s="1" t="s">
        <v>380</v>
      </c>
      <c r="Y97" s="1" t="s">
        <v>380</v>
      </c>
      <c r="Z97" s="1" t="s">
        <v>380</v>
      </c>
      <c r="AD97" s="1" t="s">
        <v>380</v>
      </c>
      <c r="AE97" s="1" t="s">
        <v>380</v>
      </c>
    </row>
    <row r="98" spans="1:31" ht="14.25" x14ac:dyDescent="0.45">
      <c r="A98" s="13" t="s">
        <v>482</v>
      </c>
      <c r="B98" s="13" t="s">
        <v>483</v>
      </c>
      <c r="C98" s="1" t="s">
        <v>459</v>
      </c>
      <c r="E98" s="1" t="s">
        <v>143</v>
      </c>
      <c r="F98" s="1" t="s">
        <v>143</v>
      </c>
      <c r="G98" s="1" t="s">
        <v>143</v>
      </c>
      <c r="J98" s="1" t="s">
        <v>143</v>
      </c>
      <c r="K98" s="1" t="s">
        <v>143</v>
      </c>
      <c r="O98" s="14">
        <f t="shared" si="5"/>
        <v>0.7142857142857143</v>
      </c>
      <c r="P98" s="1" t="s">
        <v>562</v>
      </c>
      <c r="Q98" s="1" t="s">
        <v>563</v>
      </c>
      <c r="R98" s="1" t="s">
        <v>564</v>
      </c>
      <c r="T98" s="1" t="s">
        <v>255</v>
      </c>
      <c r="U98" s="1" t="s">
        <v>255</v>
      </c>
      <c r="V98" s="1" t="s">
        <v>256</v>
      </c>
      <c r="W98" s="15">
        <v>46255</v>
      </c>
      <c r="X98" s="1" t="s">
        <v>380</v>
      </c>
      <c r="Y98" s="1" t="s">
        <v>380</v>
      </c>
      <c r="Z98" s="1" t="s">
        <v>380</v>
      </c>
      <c r="AD98" s="1" t="s">
        <v>380</v>
      </c>
      <c r="AE98" s="1" t="s">
        <v>380</v>
      </c>
    </row>
    <row r="99" spans="1:31" ht="14.25" x14ac:dyDescent="0.45">
      <c r="A99" s="13" t="s">
        <v>484</v>
      </c>
      <c r="B99" s="13" t="s">
        <v>485</v>
      </c>
      <c r="C99" s="1" t="s">
        <v>459</v>
      </c>
      <c r="E99" s="1" t="s">
        <v>143</v>
      </c>
      <c r="F99" s="1" t="s">
        <v>143</v>
      </c>
      <c r="G99" s="1" t="s">
        <v>143</v>
      </c>
      <c r="J99" s="1" t="s">
        <v>143</v>
      </c>
      <c r="K99" s="1" t="s">
        <v>143</v>
      </c>
      <c r="O99" s="14">
        <f t="shared" si="5"/>
        <v>0.7142857142857143</v>
      </c>
      <c r="P99" s="1" t="s">
        <v>571</v>
      </c>
      <c r="Q99" s="1" t="s">
        <v>565</v>
      </c>
      <c r="R99" s="1" t="s">
        <v>566</v>
      </c>
      <c r="T99" s="1" t="s">
        <v>255</v>
      </c>
      <c r="U99" s="1" t="s">
        <v>255</v>
      </c>
      <c r="V99" s="1" t="s">
        <v>256</v>
      </c>
      <c r="W99" s="15">
        <v>46255</v>
      </c>
      <c r="X99" s="1" t="s">
        <v>380</v>
      </c>
      <c r="Y99" s="1" t="s">
        <v>380</v>
      </c>
      <c r="Z99" s="1" t="s">
        <v>380</v>
      </c>
      <c r="AD99" s="1" t="s">
        <v>380</v>
      </c>
      <c r="AE99" s="1" t="s">
        <v>380</v>
      </c>
    </row>
    <row r="100" spans="1:31" ht="14.25" x14ac:dyDescent="0.45">
      <c r="A100" s="13" t="s">
        <v>486</v>
      </c>
      <c r="B100" s="13" t="s">
        <v>487</v>
      </c>
      <c r="C100" s="1" t="s">
        <v>459</v>
      </c>
      <c r="E100" s="1" t="s">
        <v>143</v>
      </c>
      <c r="F100" s="1" t="s">
        <v>143</v>
      </c>
      <c r="G100" s="1" t="s">
        <v>143</v>
      </c>
      <c r="J100" s="1" t="s">
        <v>143</v>
      </c>
      <c r="K100" s="1" t="s">
        <v>143</v>
      </c>
      <c r="O100" s="14">
        <f t="shared" si="5"/>
        <v>0.7142857142857143</v>
      </c>
      <c r="P100" s="1" t="s">
        <v>545</v>
      </c>
      <c r="Q100" s="1" t="s">
        <v>546</v>
      </c>
      <c r="R100" s="1" t="s">
        <v>547</v>
      </c>
      <c r="T100" s="1" t="s">
        <v>255</v>
      </c>
      <c r="U100" s="1" t="s">
        <v>255</v>
      </c>
      <c r="V100" s="1" t="s">
        <v>256</v>
      </c>
      <c r="W100" s="15">
        <v>46253</v>
      </c>
      <c r="X100" s="1" t="s">
        <v>380</v>
      </c>
      <c r="Y100" s="1" t="s">
        <v>380</v>
      </c>
      <c r="Z100" s="1" t="s">
        <v>380</v>
      </c>
      <c r="AD100" s="1" t="s">
        <v>380</v>
      </c>
      <c r="AE100" s="1" t="s">
        <v>380</v>
      </c>
    </row>
    <row r="101" spans="1:31" ht="14.25" x14ac:dyDescent="0.45">
      <c r="A101" s="13" t="s">
        <v>488</v>
      </c>
      <c r="B101" s="13" t="s">
        <v>489</v>
      </c>
      <c r="C101" s="1" t="s">
        <v>459</v>
      </c>
      <c r="E101" s="1" t="s">
        <v>143</v>
      </c>
      <c r="F101" s="1" t="s">
        <v>143</v>
      </c>
      <c r="G101" s="1" t="s">
        <v>143</v>
      </c>
      <c r="J101" s="1" t="s">
        <v>143</v>
      </c>
      <c r="K101" s="1" t="s">
        <v>143</v>
      </c>
      <c r="O101" s="14">
        <f t="shared" si="5"/>
        <v>0.7142857142857143</v>
      </c>
      <c r="P101" s="1" t="s">
        <v>567</v>
      </c>
      <c r="Q101" s="1" t="s">
        <v>568</v>
      </c>
      <c r="R101" s="1" t="s">
        <v>569</v>
      </c>
      <c r="T101" s="1" t="s">
        <v>255</v>
      </c>
      <c r="U101" s="1" t="s">
        <v>255</v>
      </c>
      <c r="V101" s="1" t="s">
        <v>256</v>
      </c>
      <c r="W101" s="15">
        <v>46255</v>
      </c>
      <c r="X101" s="1" t="s">
        <v>380</v>
      </c>
      <c r="Y101" s="1" t="s">
        <v>380</v>
      </c>
      <c r="Z101" s="1" t="s">
        <v>380</v>
      </c>
      <c r="AD101" s="1" t="s">
        <v>380</v>
      </c>
      <c r="AE101" s="1" t="s">
        <v>380</v>
      </c>
    </row>
    <row r="102" spans="1:31" ht="14.25" x14ac:dyDescent="0.45">
      <c r="A102" s="13" t="s">
        <v>490</v>
      </c>
      <c r="B102" s="13" t="s">
        <v>491</v>
      </c>
      <c r="C102" s="1" t="s">
        <v>459</v>
      </c>
      <c r="E102" s="1" t="s">
        <v>143</v>
      </c>
      <c r="F102" s="1" t="s">
        <v>143</v>
      </c>
      <c r="G102" s="1" t="s">
        <v>143</v>
      </c>
      <c r="J102" s="1" t="s">
        <v>143</v>
      </c>
      <c r="K102" s="1" t="s">
        <v>143</v>
      </c>
      <c r="O102" s="14">
        <f t="shared" si="5"/>
        <v>0.7142857142857143</v>
      </c>
      <c r="P102" s="1" t="s">
        <v>551</v>
      </c>
      <c r="Q102" s="1" t="s">
        <v>552</v>
      </c>
      <c r="R102" s="1" t="s">
        <v>553</v>
      </c>
      <c r="T102" s="1" t="s">
        <v>255</v>
      </c>
      <c r="U102" s="1" t="s">
        <v>255</v>
      </c>
      <c r="V102" s="1" t="s">
        <v>256</v>
      </c>
      <c r="W102" s="15">
        <v>46253</v>
      </c>
      <c r="X102" s="1" t="s">
        <v>380</v>
      </c>
      <c r="Y102" s="1" t="s">
        <v>380</v>
      </c>
      <c r="Z102" s="1" t="s">
        <v>380</v>
      </c>
      <c r="AD102" s="1" t="s">
        <v>380</v>
      </c>
      <c r="AE102" s="1" t="s">
        <v>380</v>
      </c>
    </row>
    <row r="103" spans="1:31" ht="14.25" x14ac:dyDescent="0.45">
      <c r="A103" s="13" t="s">
        <v>492</v>
      </c>
      <c r="B103" s="13" t="s">
        <v>493</v>
      </c>
      <c r="C103" s="1" t="s">
        <v>494</v>
      </c>
      <c r="E103" s="1" t="s">
        <v>19</v>
      </c>
      <c r="F103" s="1" t="s">
        <v>19</v>
      </c>
      <c r="G103" s="1" t="s">
        <v>19</v>
      </c>
      <c r="J103" s="1" t="s">
        <v>19</v>
      </c>
      <c r="O103" s="14">
        <f t="shared" si="5"/>
        <v>0</v>
      </c>
      <c r="P103" s="1" t="s">
        <v>495</v>
      </c>
      <c r="V103" s="1" t="s">
        <v>496</v>
      </c>
    </row>
    <row r="104" spans="1:31" ht="14.25" x14ac:dyDescent="0.45">
      <c r="A104" s="13" t="s">
        <v>497</v>
      </c>
      <c r="B104" s="13" t="s">
        <v>498</v>
      </c>
      <c r="C104" s="1" t="s">
        <v>468</v>
      </c>
      <c r="E104" s="1" t="s">
        <v>19</v>
      </c>
      <c r="F104" s="1" t="s">
        <v>19</v>
      </c>
      <c r="G104" s="1" t="s">
        <v>19</v>
      </c>
      <c r="J104" s="1" t="s">
        <v>19</v>
      </c>
      <c r="O104" s="14">
        <f t="shared" si="5"/>
        <v>0</v>
      </c>
      <c r="P104" s="1" t="s">
        <v>469</v>
      </c>
      <c r="V104" s="1" t="s">
        <v>438</v>
      </c>
    </row>
    <row r="105" spans="1:31" ht="14.25" x14ac:dyDescent="0.45">
      <c r="A105" s="13" t="s">
        <v>499</v>
      </c>
      <c r="B105" s="13" t="s">
        <v>500</v>
      </c>
      <c r="C105" s="1" t="s">
        <v>472</v>
      </c>
      <c r="E105" s="1" t="s">
        <v>19</v>
      </c>
      <c r="F105" s="1" t="s">
        <v>19</v>
      </c>
      <c r="G105" s="1" t="s">
        <v>19</v>
      </c>
      <c r="J105" s="1" t="s">
        <v>19</v>
      </c>
      <c r="O105" s="14">
        <f t="shared" si="5"/>
        <v>0</v>
      </c>
      <c r="P105" s="1" t="s">
        <v>473</v>
      </c>
      <c r="V105" s="1" t="s">
        <v>474</v>
      </c>
    </row>
    <row r="106" spans="1:31" ht="14.25" x14ac:dyDescent="0.45">
      <c r="A106" s="13" t="s">
        <v>501</v>
      </c>
      <c r="B106" s="13" t="s">
        <v>502</v>
      </c>
      <c r="C106" s="1" t="s">
        <v>436</v>
      </c>
      <c r="E106" s="1" t="s">
        <v>19</v>
      </c>
      <c r="F106" s="1" t="s">
        <v>19</v>
      </c>
      <c r="G106" s="1" t="s">
        <v>19</v>
      </c>
      <c r="J106" s="1" t="s">
        <v>19</v>
      </c>
      <c r="O106" s="14">
        <f t="shared" si="5"/>
        <v>0</v>
      </c>
      <c r="P106" s="1" t="s">
        <v>477</v>
      </c>
      <c r="V106" s="1" t="s">
        <v>438</v>
      </c>
    </row>
    <row r="107" spans="1:31" ht="14.25" x14ac:dyDescent="0.45">
      <c r="A107" s="13" t="s">
        <v>503</v>
      </c>
      <c r="B107" s="13" t="s">
        <v>504</v>
      </c>
      <c r="C107" s="1" t="s">
        <v>436</v>
      </c>
      <c r="E107" s="1" t="s">
        <v>19</v>
      </c>
      <c r="F107" s="1" t="s">
        <v>19</v>
      </c>
      <c r="G107" s="1" t="s">
        <v>19</v>
      </c>
      <c r="J107" s="1" t="s">
        <v>19</v>
      </c>
      <c r="O107" s="14">
        <f t="shared" si="5"/>
        <v>0</v>
      </c>
      <c r="P107" s="1" t="s">
        <v>477</v>
      </c>
      <c r="V107" s="1" t="s">
        <v>438</v>
      </c>
    </row>
    <row r="108" spans="1:31" ht="14.25" x14ac:dyDescent="0.45">
      <c r="A108" s="13" t="s">
        <v>505</v>
      </c>
      <c r="B108" s="13" t="s">
        <v>506</v>
      </c>
      <c r="C108" s="1" t="s">
        <v>436</v>
      </c>
      <c r="E108" s="1" t="s">
        <v>143</v>
      </c>
      <c r="F108" s="1" t="s">
        <v>143</v>
      </c>
      <c r="G108" s="1" t="s">
        <v>143</v>
      </c>
      <c r="J108" s="1" t="s">
        <v>143</v>
      </c>
      <c r="K108" s="1" t="s">
        <v>143</v>
      </c>
      <c r="O108" s="14">
        <f t="shared" si="5"/>
        <v>0.7142857142857143</v>
      </c>
      <c r="P108" s="1" t="s">
        <v>596</v>
      </c>
      <c r="Q108" s="1" t="s">
        <v>597</v>
      </c>
      <c r="R108" s="1" t="s">
        <v>598</v>
      </c>
      <c r="T108" s="1" t="s">
        <v>255</v>
      </c>
      <c r="U108" s="1" t="s">
        <v>255</v>
      </c>
      <c r="V108" s="1" t="s">
        <v>256</v>
      </c>
      <c r="W108" s="15">
        <v>46260</v>
      </c>
      <c r="X108" s="1" t="s">
        <v>380</v>
      </c>
      <c r="Y108" s="1" t="s">
        <v>380</v>
      </c>
      <c r="Z108" s="1" t="s">
        <v>380</v>
      </c>
      <c r="AD108" s="1" t="s">
        <v>380</v>
      </c>
      <c r="AE108" s="1" t="s">
        <v>380</v>
      </c>
    </row>
    <row r="109" spans="1:31" ht="14.25" x14ac:dyDescent="0.45">
      <c r="A109" s="13" t="s">
        <v>507</v>
      </c>
      <c r="B109" s="13" t="s">
        <v>508</v>
      </c>
      <c r="C109" s="1" t="s">
        <v>436</v>
      </c>
      <c r="E109" s="1" t="s">
        <v>143</v>
      </c>
      <c r="F109" s="1" t="s">
        <v>143</v>
      </c>
      <c r="G109" s="1" t="s">
        <v>143</v>
      </c>
      <c r="J109" s="1" t="s">
        <v>143</v>
      </c>
      <c r="K109" s="1" t="s">
        <v>143</v>
      </c>
      <c r="O109" s="14">
        <f t="shared" si="5"/>
        <v>0.7142857142857143</v>
      </c>
      <c r="P109" s="1" t="s">
        <v>593</v>
      </c>
      <c r="Q109" s="1" t="s">
        <v>594</v>
      </c>
      <c r="R109" s="1" t="s">
        <v>595</v>
      </c>
      <c r="T109" s="1" t="s">
        <v>255</v>
      </c>
      <c r="U109" s="1" t="s">
        <v>255</v>
      </c>
      <c r="V109" s="1" t="s">
        <v>256</v>
      </c>
      <c r="W109" s="15">
        <v>46260</v>
      </c>
      <c r="X109" s="1" t="s">
        <v>380</v>
      </c>
      <c r="Y109" s="1" t="s">
        <v>380</v>
      </c>
      <c r="Z109" s="1" t="s">
        <v>380</v>
      </c>
      <c r="AD109" s="1" t="s">
        <v>380</v>
      </c>
      <c r="AE109" s="1" t="s">
        <v>380</v>
      </c>
    </row>
    <row r="110" spans="1:31" ht="14.25" x14ac:dyDescent="0.45">
      <c r="A110" s="13" t="s">
        <v>509</v>
      </c>
      <c r="B110" s="13" t="s">
        <v>510</v>
      </c>
      <c r="C110" s="1" t="s">
        <v>436</v>
      </c>
      <c r="E110" s="1" t="s">
        <v>143</v>
      </c>
      <c r="F110" s="1" t="s">
        <v>143</v>
      </c>
      <c r="G110" s="1" t="s">
        <v>143</v>
      </c>
      <c r="J110" s="1" t="s">
        <v>143</v>
      </c>
      <c r="K110" s="1" t="s">
        <v>143</v>
      </c>
      <c r="O110" s="14">
        <f t="shared" si="5"/>
        <v>0.7142857142857143</v>
      </c>
      <c r="P110" s="1" t="s">
        <v>616</v>
      </c>
      <c r="Q110" s="1" t="s">
        <v>617</v>
      </c>
      <c r="R110" s="1" t="s">
        <v>618</v>
      </c>
      <c r="T110" s="1" t="s">
        <v>255</v>
      </c>
      <c r="U110" s="1" t="s">
        <v>255</v>
      </c>
      <c r="V110" s="1" t="s">
        <v>256</v>
      </c>
      <c r="W110" s="15">
        <v>46261</v>
      </c>
      <c r="X110" s="1" t="s">
        <v>380</v>
      </c>
      <c r="Y110" s="1" t="s">
        <v>380</v>
      </c>
      <c r="Z110" s="1" t="s">
        <v>380</v>
      </c>
      <c r="AD110" s="1" t="s">
        <v>380</v>
      </c>
      <c r="AE110" s="1" t="s">
        <v>380</v>
      </c>
    </row>
    <row r="111" spans="1:31" ht="14.25" x14ac:dyDescent="0.45">
      <c r="A111" s="13" t="s">
        <v>511</v>
      </c>
      <c r="B111" s="13" t="s">
        <v>512</v>
      </c>
      <c r="C111" s="1" t="s">
        <v>436</v>
      </c>
      <c r="E111" s="1" t="s">
        <v>608</v>
      </c>
      <c r="F111" s="1" t="s">
        <v>608</v>
      </c>
      <c r="G111" s="1" t="s">
        <v>608</v>
      </c>
      <c r="J111" s="1" t="s">
        <v>608</v>
      </c>
      <c r="O111" s="14">
        <f t="shared" si="5"/>
        <v>0</v>
      </c>
      <c r="P111" s="1" t="s">
        <v>619</v>
      </c>
      <c r="Q111" s="1" t="s">
        <v>620</v>
      </c>
      <c r="R111" s="1" t="s">
        <v>621</v>
      </c>
      <c r="V111" s="1" t="s">
        <v>612</v>
      </c>
      <c r="X111" s="1" t="s">
        <v>380</v>
      </c>
      <c r="Y111" s="1" t="s">
        <v>380</v>
      </c>
      <c r="Z111" s="1" t="s">
        <v>380</v>
      </c>
      <c r="AE111" s="1" t="s">
        <v>380</v>
      </c>
    </row>
    <row r="112" spans="1:31" ht="14.25" x14ac:dyDescent="0.45">
      <c r="A112" s="13" t="s">
        <v>513</v>
      </c>
      <c r="B112" s="13" t="s">
        <v>514</v>
      </c>
      <c r="C112" s="1" t="s">
        <v>436</v>
      </c>
      <c r="E112" s="1" t="s">
        <v>143</v>
      </c>
      <c r="F112" s="1" t="s">
        <v>143</v>
      </c>
      <c r="G112" s="1" t="s">
        <v>143</v>
      </c>
      <c r="J112" s="1" t="s">
        <v>143</v>
      </c>
      <c r="K112" s="1" t="s">
        <v>143</v>
      </c>
      <c r="O112" s="14">
        <f t="shared" si="5"/>
        <v>0.7142857142857143</v>
      </c>
      <c r="P112" s="1" t="s">
        <v>599</v>
      </c>
      <c r="Q112" s="1" t="s">
        <v>600</v>
      </c>
      <c r="R112" s="1" t="s">
        <v>601</v>
      </c>
      <c r="T112" s="1" t="s">
        <v>255</v>
      </c>
      <c r="U112" s="1" t="s">
        <v>255</v>
      </c>
      <c r="V112" s="1" t="s">
        <v>256</v>
      </c>
      <c r="W112" s="15">
        <v>46260</v>
      </c>
      <c r="X112" s="1" t="s">
        <v>380</v>
      </c>
      <c r="Y112" s="1" t="s">
        <v>380</v>
      </c>
      <c r="Z112" s="1" t="s">
        <v>380</v>
      </c>
      <c r="AD112" s="1" t="s">
        <v>380</v>
      </c>
      <c r="AE112" s="1" t="s">
        <v>380</v>
      </c>
    </row>
    <row r="113" spans="1:31" ht="14.25" x14ac:dyDescent="0.45">
      <c r="A113" s="13" t="s">
        <v>515</v>
      </c>
      <c r="B113" s="13" t="s">
        <v>516</v>
      </c>
      <c r="C113" s="1" t="s">
        <v>436</v>
      </c>
      <c r="E113" s="1" t="s">
        <v>143</v>
      </c>
      <c r="F113" s="1" t="s">
        <v>143</v>
      </c>
      <c r="G113" s="1" t="s">
        <v>143</v>
      </c>
      <c r="J113" s="1" t="s">
        <v>143</v>
      </c>
      <c r="K113" s="1" t="s">
        <v>143</v>
      </c>
      <c r="O113" s="14">
        <f t="shared" si="5"/>
        <v>0.7142857142857143</v>
      </c>
      <c r="P113" s="1" t="s">
        <v>606</v>
      </c>
      <c r="Q113" s="1" t="s">
        <v>605</v>
      </c>
      <c r="R113" s="1" t="s">
        <v>578</v>
      </c>
      <c r="T113" s="1" t="s">
        <v>255</v>
      </c>
      <c r="U113" s="1" t="s">
        <v>255</v>
      </c>
      <c r="V113" s="1" t="s">
        <v>256</v>
      </c>
      <c r="W113" s="15">
        <v>46258</v>
      </c>
      <c r="X113" s="1" t="s">
        <v>380</v>
      </c>
      <c r="Y113" s="1" t="s">
        <v>380</v>
      </c>
      <c r="Z113" s="1" t="s">
        <v>380</v>
      </c>
      <c r="AD113" s="1" t="s">
        <v>380</v>
      </c>
      <c r="AE113" s="1" t="s">
        <v>380</v>
      </c>
    </row>
    <row r="114" spans="1:31" ht="14.25" x14ac:dyDescent="0.45">
      <c r="A114" s="13" t="s">
        <v>517</v>
      </c>
      <c r="B114" s="13" t="s">
        <v>518</v>
      </c>
      <c r="C114" s="1" t="s">
        <v>436</v>
      </c>
      <c r="E114" s="1" t="s">
        <v>143</v>
      </c>
      <c r="F114" s="1" t="s">
        <v>143</v>
      </c>
      <c r="G114" s="1" t="s">
        <v>143</v>
      </c>
      <c r="J114" s="1" t="s">
        <v>143</v>
      </c>
      <c r="K114" s="1" t="s">
        <v>143</v>
      </c>
      <c r="O114" s="14">
        <f t="shared" si="5"/>
        <v>0.7142857142857143</v>
      </c>
      <c r="P114" s="1" t="s">
        <v>575</v>
      </c>
      <c r="Q114" s="1" t="s">
        <v>576</v>
      </c>
      <c r="R114" s="1" t="s">
        <v>577</v>
      </c>
      <c r="T114" s="1" t="s">
        <v>255</v>
      </c>
      <c r="U114" s="1" t="s">
        <v>255</v>
      </c>
      <c r="V114" s="1" t="s">
        <v>256</v>
      </c>
      <c r="W114" s="15">
        <v>46258</v>
      </c>
      <c r="X114" s="1" t="s">
        <v>380</v>
      </c>
      <c r="Y114" s="1" t="s">
        <v>380</v>
      </c>
      <c r="Z114" s="1" t="s">
        <v>380</v>
      </c>
      <c r="AD114" s="1" t="s">
        <v>380</v>
      </c>
      <c r="AE114" s="1" t="s">
        <v>380</v>
      </c>
    </row>
    <row r="115" spans="1:31" ht="14.25" x14ac:dyDescent="0.45">
      <c r="A115" s="13" t="s">
        <v>519</v>
      </c>
      <c r="B115" s="13" t="s">
        <v>520</v>
      </c>
      <c r="C115" s="1" t="s">
        <v>436</v>
      </c>
      <c r="E115" s="1" t="s">
        <v>19</v>
      </c>
      <c r="F115" s="1" t="s">
        <v>19</v>
      </c>
      <c r="G115" s="1" t="s">
        <v>19</v>
      </c>
      <c r="J115" s="1" t="s">
        <v>19</v>
      </c>
      <c r="O115" s="14">
        <f t="shared" si="5"/>
        <v>0</v>
      </c>
      <c r="P115" s="1" t="s">
        <v>477</v>
      </c>
      <c r="V115" s="1" t="s">
        <v>438</v>
      </c>
    </row>
    <row r="116" spans="1:31" ht="14.25" x14ac:dyDescent="0.45">
      <c r="A116" s="13" t="s">
        <v>521</v>
      </c>
      <c r="B116" s="13" t="s">
        <v>522</v>
      </c>
      <c r="C116" s="1" t="s">
        <v>436</v>
      </c>
      <c r="E116" s="1" t="s">
        <v>608</v>
      </c>
      <c r="F116" s="1" t="s">
        <v>608</v>
      </c>
      <c r="G116" s="1" t="s">
        <v>608</v>
      </c>
      <c r="J116" s="1" t="s">
        <v>608</v>
      </c>
      <c r="O116" s="14">
        <f t="shared" si="5"/>
        <v>0</v>
      </c>
      <c r="P116" s="1" t="s">
        <v>628</v>
      </c>
      <c r="Q116" s="1" t="s">
        <v>629</v>
      </c>
      <c r="R116" s="1" t="s">
        <v>630</v>
      </c>
      <c r="V116" s="1" t="s">
        <v>612</v>
      </c>
      <c r="X116" s="1" t="s">
        <v>380</v>
      </c>
      <c r="Y116" s="1" t="s">
        <v>380</v>
      </c>
      <c r="Z116" s="1" t="s">
        <v>380</v>
      </c>
      <c r="AE116" s="1" t="s">
        <v>380</v>
      </c>
    </row>
    <row r="117" spans="1:31" ht="14.25" x14ac:dyDescent="0.45">
      <c r="A117" s="13" t="s">
        <v>523</v>
      </c>
      <c r="B117" s="13" t="s">
        <v>524</v>
      </c>
      <c r="C117" s="1" t="s">
        <v>436</v>
      </c>
      <c r="E117" s="1" t="s">
        <v>143</v>
      </c>
      <c r="F117" s="1" t="s">
        <v>143</v>
      </c>
      <c r="G117" s="1" t="s">
        <v>143</v>
      </c>
      <c r="J117" s="1" t="s">
        <v>143</v>
      </c>
      <c r="K117" s="1" t="s">
        <v>143</v>
      </c>
      <c r="O117" s="14">
        <f t="shared" si="5"/>
        <v>0.7142857142857143</v>
      </c>
      <c r="P117" s="1" t="s">
        <v>582</v>
      </c>
      <c r="Q117" s="1" t="s">
        <v>583</v>
      </c>
      <c r="R117" s="1" t="s">
        <v>584</v>
      </c>
      <c r="T117" s="1" t="s">
        <v>255</v>
      </c>
      <c r="U117" s="1" t="s">
        <v>255</v>
      </c>
      <c r="V117" s="1" t="s">
        <v>256</v>
      </c>
      <c r="W117" s="15">
        <v>46260</v>
      </c>
      <c r="X117" s="1" t="s">
        <v>380</v>
      </c>
      <c r="Y117" s="1" t="s">
        <v>380</v>
      </c>
      <c r="Z117" s="1" t="s">
        <v>380</v>
      </c>
      <c r="AD117" s="1" t="s">
        <v>380</v>
      </c>
      <c r="AE117" s="1" t="s">
        <v>380</v>
      </c>
    </row>
    <row r="118" spans="1:31" ht="14.25" x14ac:dyDescent="0.45">
      <c r="A118" s="13" t="s">
        <v>525</v>
      </c>
      <c r="B118" s="13" t="s">
        <v>526</v>
      </c>
      <c r="C118" s="1" t="s">
        <v>436</v>
      </c>
      <c r="E118" s="1" t="s">
        <v>143</v>
      </c>
      <c r="F118" s="1" t="s">
        <v>143</v>
      </c>
      <c r="G118" s="1" t="s">
        <v>143</v>
      </c>
      <c r="J118" s="1" t="s">
        <v>143</v>
      </c>
      <c r="K118" s="1" t="s">
        <v>143</v>
      </c>
      <c r="O118" s="14">
        <f t="shared" si="5"/>
        <v>0.7142857142857143</v>
      </c>
      <c r="P118" s="1" t="s">
        <v>572</v>
      </c>
      <c r="Q118" s="1" t="s">
        <v>573</v>
      </c>
      <c r="R118" s="1" t="s">
        <v>574</v>
      </c>
      <c r="T118" s="1" t="s">
        <v>255</v>
      </c>
      <c r="U118" s="1" t="s">
        <v>255</v>
      </c>
      <c r="V118" s="1" t="s">
        <v>256</v>
      </c>
      <c r="W118" s="15">
        <v>46258</v>
      </c>
      <c r="X118" s="1" t="s">
        <v>380</v>
      </c>
      <c r="Y118" s="1" t="s">
        <v>380</v>
      </c>
      <c r="Z118" s="1" t="s">
        <v>380</v>
      </c>
      <c r="AD118" s="1" t="s">
        <v>380</v>
      </c>
      <c r="AE118" s="1" t="s">
        <v>380</v>
      </c>
    </row>
    <row r="119" spans="1:31" ht="14.25" x14ac:dyDescent="0.45">
      <c r="A119" s="13" t="s">
        <v>527</v>
      </c>
      <c r="B119" s="13" t="s">
        <v>528</v>
      </c>
      <c r="C119" s="1" t="s">
        <v>436</v>
      </c>
      <c r="E119" s="1" t="s">
        <v>608</v>
      </c>
      <c r="F119" s="1" t="s">
        <v>608</v>
      </c>
      <c r="G119" s="1" t="s">
        <v>608</v>
      </c>
      <c r="J119" s="1" t="s">
        <v>608</v>
      </c>
      <c r="O119" s="14">
        <f t="shared" si="5"/>
        <v>0</v>
      </c>
      <c r="P119" s="1" t="s">
        <v>622</v>
      </c>
      <c r="Q119" s="1" t="s">
        <v>623</v>
      </c>
      <c r="R119" s="1" t="s">
        <v>624</v>
      </c>
      <c r="V119" s="1" t="s">
        <v>612</v>
      </c>
      <c r="X119" s="1" t="s">
        <v>380</v>
      </c>
      <c r="Y119" s="1" t="s">
        <v>380</v>
      </c>
      <c r="Z119" s="1" t="s">
        <v>380</v>
      </c>
      <c r="AE119" s="1" t="s">
        <v>380</v>
      </c>
    </row>
    <row r="120" spans="1:31" ht="14.25" x14ac:dyDescent="0.45">
      <c r="A120" s="13" t="s">
        <v>529</v>
      </c>
      <c r="B120" s="13" t="s">
        <v>530</v>
      </c>
      <c r="C120" s="1" t="s">
        <v>436</v>
      </c>
      <c r="E120" s="1" t="s">
        <v>608</v>
      </c>
      <c r="F120" s="1" t="s">
        <v>608</v>
      </c>
      <c r="G120" s="1" t="s">
        <v>608</v>
      </c>
      <c r="J120" s="1" t="s">
        <v>608</v>
      </c>
      <c r="O120" s="14">
        <f t="shared" si="5"/>
        <v>0</v>
      </c>
      <c r="P120" s="1" t="s">
        <v>625</v>
      </c>
      <c r="Q120" s="1" t="s">
        <v>626</v>
      </c>
      <c r="R120" s="1" t="s">
        <v>627</v>
      </c>
      <c r="V120" s="1" t="s">
        <v>612</v>
      </c>
      <c r="X120" s="1" t="s">
        <v>380</v>
      </c>
      <c r="Y120" s="1" t="s">
        <v>380</v>
      </c>
      <c r="Z120" s="1" t="s">
        <v>380</v>
      </c>
      <c r="AE120" s="1" t="s">
        <v>380</v>
      </c>
    </row>
    <row r="121" spans="1:31" ht="14.25" x14ac:dyDescent="0.45">
      <c r="A121" s="13" t="s">
        <v>531</v>
      </c>
      <c r="B121" s="13" t="s">
        <v>532</v>
      </c>
      <c r="C121" s="1" t="s">
        <v>533</v>
      </c>
      <c r="E121" s="1" t="s">
        <v>19</v>
      </c>
      <c r="F121" s="1" t="s">
        <v>19</v>
      </c>
      <c r="G121" s="1" t="s">
        <v>19</v>
      </c>
      <c r="J121" s="1" t="s">
        <v>19</v>
      </c>
      <c r="O121" s="14">
        <f t="shared" si="5"/>
        <v>0</v>
      </c>
      <c r="P121" s="1" t="s">
        <v>534</v>
      </c>
      <c r="V121" s="1" t="s">
        <v>535</v>
      </c>
    </row>
  </sheetData>
  <autoFilter ref="A1:AF121" xr:uid="{DBD30852-F254-4DC2-ACE0-BF5EEDEDFADE}"/>
  <sortState xmlns:xlrd2="http://schemas.microsoft.com/office/spreadsheetml/2017/richdata2" ref="A2:A60">
    <sortCondition ref="A2:A60"/>
  </sortState>
  <conditionalFormatting sqref="A2:B60">
    <cfRule type="expression" dxfId="10" priority="1" stopIfTrue="1">
      <formula>$S2="Yes"</formula>
    </cfRule>
  </conditionalFormatting>
  <conditionalFormatting sqref="D2:D60">
    <cfRule type="expression" dxfId="9" priority="7" stopIfTrue="1">
      <formula>AND(D2&lt;&gt;"",D2="High")</formula>
    </cfRule>
    <cfRule type="expression" dxfId="8" priority="8" stopIfTrue="1">
      <formula>AND(D2&lt;&gt;"",D2="Medium")</formula>
    </cfRule>
    <cfRule type="expression" dxfId="7" priority="9" stopIfTrue="1">
      <formula>AND(D2&lt;&gt;"",D2="Low")</formula>
    </cfRule>
  </conditionalFormatting>
  <conditionalFormatting sqref="E2:K60">
    <cfRule type="expression" dxfId="6" priority="2" stopIfTrue="1">
      <formula>AND(E2&lt;&gt;"",E2="Complete")</formula>
    </cfRule>
    <cfRule type="expression" dxfId="5" priority="3" stopIfTrue="1">
      <formula>AND(E2&lt;&gt;"",E2="In Progress")</formula>
    </cfRule>
    <cfRule type="expression" dxfId="4" priority="4" stopIfTrue="1">
      <formula>AND(E2&lt;&gt;"",E2="Review")</formula>
    </cfRule>
    <cfRule type="expression" dxfId="3" priority="5" stopIfTrue="1">
      <formula>AND(E2&lt;&gt;"",E2="Not Started")</formula>
    </cfRule>
    <cfRule type="expression" dxfId="2" priority="6" stopIfTrue="1">
      <formula>AND(E2&lt;&gt;"",E2="N/A")</formula>
    </cfRule>
  </conditionalFormatting>
  <conditionalFormatting sqref="S2:S60">
    <cfRule type="expression" dxfId="1" priority="10" stopIfTrue="1">
      <formula>$S2="Yes"</formula>
    </cfRule>
  </conditionalFormatting>
  <conditionalFormatting sqref="V2:V60">
    <cfRule type="expression" dxfId="0" priority="11" stopIfTrue="1">
      <formula>AND($V2&lt;&gt;"",$V2&lt;&gt;"-",$V2&lt;&gt;"not audited",$V2&lt;&gt;"pending impl")</formula>
    </cfRule>
  </conditionalFormatting>
  <dataValidations count="3">
    <dataValidation type="list" allowBlank="1" showInputMessage="1" showErrorMessage="1" sqref="E2:K60" xr:uid="{082A060E-E481-4415-BEDC-285830FA73BB}">
      <formula1>"Not Started,In Progress,Review,Complete,N/A"</formula1>
    </dataValidation>
    <dataValidation type="list" allowBlank="1" showInputMessage="1" showErrorMessage="1" sqref="D2:D60" xr:uid="{5F2E210D-4141-49C4-8941-C85BF4C6B4FB}">
      <formula1>"High,Medium,Low"</formula1>
    </dataValidation>
    <dataValidation type="list" allowBlank="1" showInputMessage="1" showErrorMessage="1" sqref="S2:S60" xr:uid="{7A371D3B-997E-4007-AA06-5407E74078DA}">
      <formula1>"Yes,No"</formula1>
    </dataValidation>
  </dataValidations>
  <hyperlinks>
    <hyperlink ref="A44" r:id="rId1" xr:uid="{E672D014-EF76-4D38-A02D-30125CFEAE2D}"/>
    <hyperlink ref="A22" r:id="rId2" xr:uid="{86534B37-0487-465C-AA74-C07197134C01}"/>
    <hyperlink ref="A31" r:id="rId3" xr:uid="{15524785-DAC1-42DA-A9E5-8F23FD491BA4}"/>
    <hyperlink ref="A28" r:id="rId4" xr:uid="{145E1919-7979-48EF-8026-40C334663005}"/>
    <hyperlink ref="A5" r:id="rId5" xr:uid="{23AFA46E-8FCD-4690-BCD1-EF02D49063C7}"/>
    <hyperlink ref="A25" r:id="rId6" xr:uid="{276AE45F-EB96-4D62-B133-91C231ECFC91}"/>
    <hyperlink ref="A23" r:id="rId7" xr:uid="{2781C50A-2121-4F05-BA2A-1B5D8E15C727}"/>
    <hyperlink ref="A6" r:id="rId8" xr:uid="{D255647A-A058-4A65-83D7-C6523144F3AA}"/>
    <hyperlink ref="A21" r:id="rId9" xr:uid="{C3303FFF-2F41-440D-962B-4F57F789E599}"/>
    <hyperlink ref="A10" r:id="rId10" xr:uid="{5F12456B-C998-47F1-9EA5-414BF0505811}"/>
    <hyperlink ref="A60" r:id="rId11" xr:uid="{D7AC4933-E943-429D-A20E-9E796063CDF6}"/>
    <hyperlink ref="A54" r:id="rId12" xr:uid="{E2A424D0-D311-4EA4-9EBE-8FA83FE3A5EF}"/>
    <hyperlink ref="A53" r:id="rId13" xr:uid="{1B465A68-8FA8-43A7-BA00-3CD3B786A795}"/>
    <hyperlink ref="A50" r:id="rId14" xr:uid="{F3966B3E-D52F-464D-81C9-AE1303B152E7}"/>
    <hyperlink ref="A46" r:id="rId15" xr:uid="{C087C6A1-0FB8-4D84-BFB0-912102557ECB}"/>
    <hyperlink ref="A43" r:id="rId16" xr:uid="{7A2427ED-1949-445C-9FF4-B15DF71485E6}"/>
    <hyperlink ref="A59" r:id="rId17" xr:uid="{F5A9D617-D1A1-4B9A-8EE9-38833CC72DE8}"/>
    <hyperlink ref="A57" r:id="rId18" xr:uid="{1EE4A28E-9EBF-4230-A3E6-DC7693BE5256}"/>
    <hyperlink ref="A49" r:id="rId19" xr:uid="{51D810A3-1CA7-4F19-B79D-6392C5516206}"/>
    <hyperlink ref="A48" r:id="rId20" xr:uid="{CD2F8F1B-37BC-49E7-9295-238CBAFB2F58}"/>
    <hyperlink ref="A56" r:id="rId21" xr:uid="{8118EA5F-E581-4F09-9514-B303FC222471}"/>
    <hyperlink ref="A14" r:id="rId22" xr:uid="{3D455D7B-F725-43C4-BDB4-A9B0C2AB556E}"/>
    <hyperlink ref="A45" r:id="rId23" xr:uid="{5CE56ABB-BA94-4E7F-BA5C-0D58376F752A}"/>
    <hyperlink ref="A39" r:id="rId24" xr:uid="{A1B927F7-3B73-4034-8215-92A73D52FA8B}"/>
    <hyperlink ref="A40" r:id="rId25" xr:uid="{D25324FB-BBDA-4D0F-A238-499C61893191}"/>
    <hyperlink ref="A30" r:id="rId26" xr:uid="{3AEDA830-1A8C-49F0-A788-E6B3B573381E}"/>
    <hyperlink ref="A38" r:id="rId27" xr:uid="{B2922B98-B318-4540-B3DB-4AA87093A15C}"/>
    <hyperlink ref="A36" r:id="rId28" xr:uid="{CFB41EC6-4626-4A59-BB34-E0EB1C531323}"/>
    <hyperlink ref="A51" r:id="rId29" xr:uid="{573A9FA5-40D9-4944-B72D-080B738BC78D}"/>
    <hyperlink ref="A27" r:id="rId30" xr:uid="{4437AE9F-7F2E-4B3F-A8B7-FBB7C35509EE}"/>
    <hyperlink ref="A41" r:id="rId31" xr:uid="{7374413D-296B-44B6-955C-458D3835C675}"/>
    <hyperlink ref="A16" r:id="rId32" xr:uid="{D3DF0DBD-A570-458D-8099-DED2215BE6E7}"/>
    <hyperlink ref="A32" r:id="rId33" xr:uid="{EF2A3749-E2EA-4A86-BDB2-E1FE689D0AC0}"/>
    <hyperlink ref="A11" r:id="rId34" xr:uid="{26B632DA-6B2A-4032-90EF-DD8299C2EF7C}"/>
    <hyperlink ref="A20" r:id="rId35" xr:uid="{F6413CB4-7B88-4F74-8429-597BF609C85C}"/>
    <hyperlink ref="A9" r:id="rId36" xr:uid="{2C336B89-E6D2-4252-AE99-47168A52CBC6}"/>
    <hyperlink ref="A13" r:id="rId37" xr:uid="{C56D1ECF-DF28-433A-8CA8-D887C1EF48B8}"/>
    <hyperlink ref="A42" r:id="rId38" xr:uid="{C40B68B6-CE12-437E-9EF6-F0A94237B5C6}"/>
    <hyperlink ref="A12" r:id="rId39" xr:uid="{7B53DF95-605C-41BB-986C-C700CCBA4A82}"/>
    <hyperlink ref="A8" r:id="rId40" xr:uid="{378F8F44-46B1-433A-895B-FD75AFE4228E}"/>
    <hyperlink ref="A33" r:id="rId41" xr:uid="{64482519-E90D-475F-93D7-8307EB73691C}"/>
    <hyperlink ref="A2" r:id="rId42" xr:uid="{3C5C891C-889F-435B-8F48-E1C5ED11D514}"/>
    <hyperlink ref="A55" r:id="rId43" xr:uid="{9B4F6E73-05DC-4F2C-89DA-2734CEF8B7CC}"/>
    <hyperlink ref="A29" r:id="rId44" xr:uid="{119A07D7-F95B-4CDD-B57E-BDD2EEA506E9}"/>
    <hyperlink ref="A35" r:id="rId45" xr:uid="{662E0CBD-B859-4AC8-B5ED-3F664B999498}"/>
    <hyperlink ref="A7" r:id="rId46" xr:uid="{DBABBFA2-5EB8-46E3-83B1-7D723B79404F}"/>
    <hyperlink ref="A24" r:id="rId47" xr:uid="{9ABDC361-2FB1-4295-89AD-D56C7D503D19}"/>
    <hyperlink ref="A18" r:id="rId48" xr:uid="{8F762B4D-21B1-4190-9831-12DED4ED607C}"/>
    <hyperlink ref="A3" r:id="rId49" xr:uid="{612211D9-5207-4B02-B02B-3C1F13DB58A0}"/>
    <hyperlink ref="A17" r:id="rId50" xr:uid="{F091CD87-7E80-466D-A874-4C1BB0A6B410}"/>
    <hyperlink ref="A37" r:id="rId51" xr:uid="{F7DF31D0-BE54-4641-B022-4415E100DF58}"/>
    <hyperlink ref="A4" r:id="rId52" xr:uid="{43E51516-4907-4940-B731-5DBF0F3FDEB9}"/>
    <hyperlink ref="A19" r:id="rId53" xr:uid="{5D5133B0-DFDC-47EA-9B80-D39D19AD7510}"/>
    <hyperlink ref="A58" r:id="rId54" xr:uid="{DC77B37D-AE3E-4A76-9845-C3645785F34B}"/>
    <hyperlink ref="A52" r:id="rId55" xr:uid="{B0EDB2FB-E0A1-4591-93A2-A41BA3EC1A69}"/>
    <hyperlink ref="A26" r:id="rId56" xr:uid="{2F5BC2F1-8DF4-49E9-8338-756331B97A11}"/>
    <hyperlink ref="A34" r:id="rId57" xr:uid="{77813C6A-2138-4D69-94EE-33C5AD9D5BCF}"/>
    <hyperlink ref="A15" r:id="rId58" xr:uid="{71B451B9-7497-4134-BEC7-A1D46073C35D}"/>
    <hyperlink ref="A47" r:id="rId59" xr:uid="{2517D5BB-E9A9-4CC5-BF1D-3CFB75133DBF}"/>
    <hyperlink ref="B2" r:id="rId60" tooltip="Open live page" xr:uid="{DE16F3E6-89E6-45EE-8E1C-850B03905115}"/>
    <hyperlink ref="B3" r:id="rId61" tooltip="Open live page" xr:uid="{3605D9BB-37D1-46BA-9AE5-415C3F792572}"/>
    <hyperlink ref="B4" r:id="rId62" tooltip="Open live page" xr:uid="{6E1A6912-C357-4857-9F62-84C62FEC2A65}"/>
    <hyperlink ref="B5" r:id="rId63" tooltip="Open live page" xr:uid="{49821956-5045-4F9D-9A7A-086AD0DB4643}"/>
    <hyperlink ref="B6" r:id="rId64" tooltip="Open live page" xr:uid="{EF29DE8A-C221-4DD5-9AAC-E6F0EF5AF29F}"/>
    <hyperlink ref="B7" r:id="rId65" tooltip="Open live page" xr:uid="{1F92ABD7-87DA-4204-8906-4331C225F09B}"/>
    <hyperlink ref="B8" r:id="rId66" tooltip="Open live page" xr:uid="{DD63229F-7BD3-4404-BCD8-C4F4AE2FF018}"/>
    <hyperlink ref="B9" r:id="rId67" tooltip="Open live page" xr:uid="{6B904586-AEC4-4D95-82CF-666DDC8C5679}"/>
    <hyperlink ref="B10" r:id="rId68" tooltip="Open live page" xr:uid="{01F2BD5E-D3A6-4F78-8D0A-74AB4FA82381}"/>
    <hyperlink ref="B11" r:id="rId69" tooltip="Open live page" xr:uid="{57B2A047-DF85-43FA-BAC8-DA9492F476F9}"/>
    <hyperlink ref="B12" r:id="rId70" tooltip="Open live page" xr:uid="{8274C6A5-C16F-4AF0-97F8-7814F44E99C3}"/>
    <hyperlink ref="B13" r:id="rId71" tooltip="Open live page" xr:uid="{4831AFD8-86AE-41A6-8817-C86253F08CC8}"/>
    <hyperlink ref="B14" r:id="rId72" tooltip="Open live page" xr:uid="{736A0B3E-037C-4B2C-A71A-F54BBCF8BD4C}"/>
    <hyperlink ref="B15" r:id="rId73" tooltip="Open live page" xr:uid="{1D2DBF93-98F0-434E-AEE0-C39F6044607C}"/>
    <hyperlink ref="B16" r:id="rId74" tooltip="Open live page" xr:uid="{6E1792FB-892B-48A4-B87C-86F64B20CA3F}"/>
    <hyperlink ref="B17" r:id="rId75" tooltip="Open live page" xr:uid="{B2C3B85D-C648-404E-A344-94AE096EC5B1}"/>
    <hyperlink ref="B18" r:id="rId76" tooltip="Open live page" xr:uid="{7EE9712A-D7F5-4111-A1E7-53D9F67E6386}"/>
    <hyperlink ref="B19" r:id="rId77" tooltip="Open live page" xr:uid="{1A802BB3-B1A1-4A77-A079-884E86E997E5}"/>
    <hyperlink ref="B20" r:id="rId78" tooltip="Open live page" xr:uid="{D252944B-29ED-4BE7-9E2D-E214D5D988A3}"/>
    <hyperlink ref="B21" r:id="rId79" tooltip="Open live page" xr:uid="{6705C367-035F-4FEF-B6D0-08ED1FCF6120}"/>
    <hyperlink ref="B22" r:id="rId80" tooltip="Open live page" xr:uid="{A80E020B-754E-4A37-9D1D-05AF22D7E5AE}"/>
    <hyperlink ref="B23" r:id="rId81" tooltip="Open live page" xr:uid="{7B340F1E-8213-4915-99D3-3D2326AFA8B8}"/>
    <hyperlink ref="B24" r:id="rId82" tooltip="Open live page" xr:uid="{B8B37EE8-1DAB-4E03-A858-7EA420DC86DD}"/>
    <hyperlink ref="B25" r:id="rId83" tooltip="Open live page" xr:uid="{6A9BE586-CA24-474C-A5D1-EEC36E1EB5B4}"/>
    <hyperlink ref="B26" r:id="rId84" tooltip="Open live page" xr:uid="{5AAC2E4A-7AE2-4979-8565-CB0B5F3234D7}"/>
    <hyperlink ref="B27" r:id="rId85" tooltip="Open live page" xr:uid="{C329439B-0E1A-4627-8DFA-A1DCD32B0FAB}"/>
    <hyperlink ref="B28" r:id="rId86" tooltip="Open live page" xr:uid="{FDD554AB-5C82-40AB-AD70-9291A04A9C17}"/>
    <hyperlink ref="B29" r:id="rId87" tooltip="Open live page" xr:uid="{E77DDB26-6104-4D23-8D7F-DABFE5994D34}"/>
    <hyperlink ref="B30" r:id="rId88" tooltip="Open live page" xr:uid="{5F212F3C-ACD5-4753-8694-CBBECB433473}"/>
    <hyperlink ref="B31" r:id="rId89" tooltip="Open live page" xr:uid="{DA65C9A3-D771-4135-891C-A11613F31A74}"/>
    <hyperlink ref="B32" r:id="rId90" tooltip="Open live page" xr:uid="{671C08B8-69D0-420C-93C7-205927702D94}"/>
    <hyperlink ref="B33" r:id="rId91" tooltip="Open live page" xr:uid="{6E0E263F-FA26-43E0-9EB4-FEADB18582B2}"/>
    <hyperlink ref="B34" r:id="rId92" tooltip="Open live page" xr:uid="{199BFF73-0757-45EE-8875-2FDFCD41B480}"/>
    <hyperlink ref="B35" r:id="rId93" tooltip="Open live page" xr:uid="{C33EB72B-18AD-4BE7-B72A-D0AAF16D3F16}"/>
    <hyperlink ref="B36" r:id="rId94" tooltip="Open live page" xr:uid="{E33960C5-3A7C-4A9B-9C6F-48F9FEDA7D32}"/>
    <hyperlink ref="B37" r:id="rId95" tooltip="Open live page" xr:uid="{E1369A35-9AA0-4DDC-B9A4-828C00626EE7}"/>
    <hyperlink ref="B38" r:id="rId96" tooltip="Open live page" xr:uid="{1D412EE4-E914-464B-9576-8AA82967E8F8}"/>
    <hyperlink ref="B39" r:id="rId97" tooltip="Open live page" xr:uid="{CBB19678-3B5C-4CE1-AF01-A6795165D9E2}"/>
    <hyperlink ref="B40" r:id="rId98" tooltip="Open live page" xr:uid="{78E45E19-E775-4D4E-B2A9-53B7F6F3EEAA}"/>
    <hyperlink ref="B41" r:id="rId99" tooltip="Open live page" xr:uid="{8F1EF0F8-8E4E-4295-9088-0DC87BA2F50F}"/>
    <hyperlink ref="B42" r:id="rId100" tooltip="Open live page" xr:uid="{CF292018-BD80-4D85-9DCD-FC1CACD342C2}"/>
    <hyperlink ref="B43" r:id="rId101" tooltip="Open live page" xr:uid="{DF3BBEE9-6AFB-49EF-9DDD-A75F25E78E10}"/>
    <hyperlink ref="B44" r:id="rId102" tooltip="Open live page" xr:uid="{2AF8DE03-D145-43B3-9AC7-9AC40E7163E5}"/>
    <hyperlink ref="B45" r:id="rId103" tooltip="Open live page" xr:uid="{6B4EEDFB-37C1-43BD-A936-64CDAC021FC9}"/>
    <hyperlink ref="B46" r:id="rId104" tooltip="Open live page" xr:uid="{95E3406F-0800-4329-AD03-FBF5AE0899D3}"/>
    <hyperlink ref="B47" r:id="rId105" tooltip="Open live page" xr:uid="{DDD3D672-EB3F-4F30-9D0C-68B848C0EE5B}"/>
    <hyperlink ref="B48" r:id="rId106" tooltip="Open live page" xr:uid="{875329DD-12A1-4469-BB08-C9A5DEC67C95}"/>
    <hyperlink ref="B49" r:id="rId107" tooltip="Open live page" xr:uid="{66189C63-F952-4811-A549-7EF1088F39CA}"/>
    <hyperlink ref="B50" r:id="rId108" tooltip="Open live page" xr:uid="{8EC19F06-9615-4879-947F-CA8485FE3CFE}"/>
    <hyperlink ref="B51" r:id="rId109" tooltip="Open live page" xr:uid="{8D005040-91F6-4DBA-9C60-9B619D1877AA}"/>
    <hyperlink ref="B52" r:id="rId110" tooltip="Open live page" xr:uid="{8AEE51A3-2B22-4313-B742-D0ECD462B5D1}"/>
    <hyperlink ref="B53" r:id="rId111" tooltip="Open live page" xr:uid="{05267FFE-6D2E-4E31-86B3-7F87F2352949}"/>
    <hyperlink ref="B54" r:id="rId112" tooltip="Open live page" xr:uid="{243B7384-6723-412F-AB31-980999D7F3AA}"/>
    <hyperlink ref="B55" r:id="rId113" tooltip="Open live page" xr:uid="{F7D7A173-ED95-4EE4-9450-5542C9540A95}"/>
    <hyperlink ref="B56" r:id="rId114" tooltip="Open live page" xr:uid="{8CD5D210-CECB-464D-855E-9EA404F05457}"/>
    <hyperlink ref="B57" r:id="rId115" tooltip="Open live page" xr:uid="{F121DBCB-9CAD-4B2A-95A6-9D112DEB6754}"/>
    <hyperlink ref="B58" r:id="rId116" tooltip="Open live page" xr:uid="{F7A45CE6-7958-45F5-8C41-C453F31DEC6B}"/>
    <hyperlink ref="B59" r:id="rId117" tooltip="Open live page" xr:uid="{FDB7D22E-EF98-40C5-A3B5-C095243873A4}"/>
    <hyperlink ref="B60" r:id="rId118" tooltip="Open live page" xr:uid="{3FEE94BD-0323-4B72-843C-831BE9377AB2}"/>
    <hyperlink ref="A61" r:id="rId119" tooltip="HubSpot pages dashboard" xr:uid="{24120F77-486C-4B10-BA38-06F36C700FB9}"/>
    <hyperlink ref="B61" r:id="rId120" tooltip="Open live page" xr:uid="{68AFAC68-4339-478F-93FE-82C95E15EEB7}"/>
    <hyperlink ref="A62" r:id="rId121" tooltip="HubSpot pages dashboard" xr:uid="{EB526C58-2922-4042-AE92-2C7A596DAC3A}"/>
    <hyperlink ref="B62" r:id="rId122" tooltip="Open live page" xr:uid="{A3D3E4A5-C3F1-4808-93AC-8E34D60B90D9}"/>
    <hyperlink ref="A63" r:id="rId123" tooltip="HubSpot pages dashboard" xr:uid="{CAC92455-55AF-46AA-B661-0143C95A097E}"/>
    <hyperlink ref="B63" r:id="rId124" tooltip="Open live page" xr:uid="{B6E2EF53-8554-4256-AE71-25CE41C460AE}"/>
    <hyperlink ref="A64" r:id="rId125" tooltip="HubSpot pages dashboard" xr:uid="{12CA05FC-48F1-4FDE-92F2-A2EC0A7E09F1}"/>
    <hyperlink ref="B64" r:id="rId126" tooltip="Open live page" xr:uid="{F13CAC95-759A-4D06-8D91-7195EFA5675E}"/>
    <hyperlink ref="A65" r:id="rId127" tooltip="HubSpot pages dashboard" xr:uid="{D45D4422-AF14-4F4E-A619-EA7897641465}"/>
    <hyperlink ref="B65" r:id="rId128" tooltip="Open live page" xr:uid="{8A47882A-E8C6-4276-BB74-1D2D6384E2BB}"/>
    <hyperlink ref="A66" r:id="rId129" tooltip="HubSpot pages dashboard" xr:uid="{F7E6099F-9546-439A-B7A6-9F46A4E16F24}"/>
    <hyperlink ref="B66" r:id="rId130" tooltip="Open live page" xr:uid="{7AA9BCE1-A890-4B19-BC43-8CDB59FAB8A9}"/>
    <hyperlink ref="A67" r:id="rId131" tooltip="HubSpot pages dashboard" xr:uid="{BAEAA81A-53EA-4BBE-AC49-56B8A9A97095}"/>
    <hyperlink ref="B67" r:id="rId132" tooltip="Open live page" xr:uid="{21D58EDE-6EF0-4E48-A366-686DBFECD5BE}"/>
    <hyperlink ref="A68" r:id="rId133" tooltip="HubSpot pages dashboard" xr:uid="{B63BB60B-BF7A-4F23-B954-86088A9DCCEB}"/>
    <hyperlink ref="B68" r:id="rId134" tooltip="Open live page" xr:uid="{B16ACE88-5F54-42A1-BF1D-9F525F5D60F5}"/>
    <hyperlink ref="A69" r:id="rId135" tooltip="HubSpot pages dashboard" xr:uid="{584B10EB-D484-45A7-B394-A46FB8850F13}"/>
    <hyperlink ref="B69" r:id="rId136" tooltip="Open live page" xr:uid="{C5626972-3498-4291-A2B6-4AA629E48EC8}"/>
    <hyperlink ref="A70" r:id="rId137" tooltip="HubSpot pages dashboard" xr:uid="{D3AA1BA7-60C6-4E18-ADAE-01C08CD7B437}"/>
    <hyperlink ref="B70" r:id="rId138" tooltip="Open live page" xr:uid="{494C2D63-369E-4B69-892F-1757FFACBF71}"/>
    <hyperlink ref="A71" r:id="rId139" tooltip="HubSpot pages dashboard" xr:uid="{55396FBA-A859-483E-BD02-FF7249C066D9}"/>
    <hyperlink ref="B71" r:id="rId140" tooltip="Open live page" xr:uid="{DB39C7EC-57DF-4E6A-B110-202D1C2FC624}"/>
    <hyperlink ref="A72" r:id="rId141" tooltip="HubSpot pages dashboard" xr:uid="{F9150A54-D7B5-49A4-B3DB-F39505D49E3F}"/>
    <hyperlink ref="B72" r:id="rId142" tooltip="Open live page" xr:uid="{CEDE046C-ED23-478A-9DC0-3966480935EF}"/>
    <hyperlink ref="B73" r:id="rId143" tooltip="Open live page" xr:uid="{F7808FAE-8160-4785-9E32-3907372A4A4D}"/>
    <hyperlink ref="A74" r:id="rId144" tooltip="HubSpot pages dashboard" xr:uid="{5A0FC35F-0452-4CF7-85BF-7D9243A57C4B}"/>
    <hyperlink ref="B74" r:id="rId145" tooltip="Open live page" xr:uid="{C02A7BDF-5447-4D98-89C7-372DC2E6F948}"/>
    <hyperlink ref="A75" r:id="rId146" tooltip="HubSpot pages dashboard" xr:uid="{47965213-852B-48BC-9469-E7A7A1F0B18A}"/>
    <hyperlink ref="B75" r:id="rId147" tooltip="Open live page" xr:uid="{DE7BA764-A85D-4486-9C70-496E4A810723}"/>
    <hyperlink ref="A76" r:id="rId148" tooltip="HubSpot pages dashboard" xr:uid="{AFA1224B-581A-4729-9B40-D69D5BE69D0A}"/>
    <hyperlink ref="B76" r:id="rId149" tooltip="Open live page" xr:uid="{FDC88733-A479-49DA-8929-7F6A1B2BCD8C}"/>
    <hyperlink ref="A77" r:id="rId150" tooltip="HubSpot pages dashboard" xr:uid="{983CA4B8-DD83-452C-9315-D034D01A3624}"/>
    <hyperlink ref="B77" r:id="rId151" tooltip="Open live page" xr:uid="{0BC4D499-12BD-4068-8203-F2A0BAFA11E1}"/>
    <hyperlink ref="A78" r:id="rId152" tooltip="HubSpot pages dashboard" xr:uid="{597884E2-0F72-4FCD-9FF4-41D451227250}"/>
    <hyperlink ref="B78" r:id="rId153" tooltip="Open live page" xr:uid="{429EBDF6-1C06-4DA6-B57E-8AF675732B01}"/>
    <hyperlink ref="A73" r:id="rId154" tooltip="Open About page editor in HubSpot" xr:uid="{D7CDFE44-CE76-4B77-9025-853D6D6AB8A8}"/>
    <hyperlink ref="A79" r:id="rId155" tooltip="Open live page" xr:uid="{3806A29C-B7F2-4B7D-A3B8-A1F3E27D21C2}"/>
    <hyperlink ref="B79" r:id="rId156" tooltip="Open live page" xr:uid="{357FC5D3-57B0-475C-BCCF-7F3864865575}"/>
    <hyperlink ref="A80" r:id="rId157" tooltip="Open live page" xr:uid="{91C001BE-183E-4C0B-8808-78A875256FAB}"/>
    <hyperlink ref="B80" r:id="rId158" tooltip="Open live page" xr:uid="{4EC857CB-AB14-4B34-87D8-DF2930CCDF2B}"/>
    <hyperlink ref="A81" r:id="rId159" tooltip="Open live page" xr:uid="{08F22E05-8216-4109-A6BC-5716AB97C0FE}"/>
    <hyperlink ref="B81" r:id="rId160" tooltip="Open live page" xr:uid="{F7E29673-7AF0-4E21-9FB2-6857B4440043}"/>
    <hyperlink ref="A82" r:id="rId161" tooltip="Open live page" xr:uid="{472624A0-C883-4FD7-8F94-604C94979885}"/>
    <hyperlink ref="B82" r:id="rId162" tooltip="Open live page" xr:uid="{6EB71778-957E-438A-B348-0C6EF1F0B099}"/>
    <hyperlink ref="A83" r:id="rId163" tooltip="Open live page" xr:uid="{151C5A10-CD65-4DF9-8A08-478D783D09DC}"/>
    <hyperlink ref="B83" r:id="rId164" tooltip="Open live page" xr:uid="{27FEEC8D-2725-41B3-8BB3-7616A2A9AC01}"/>
    <hyperlink ref="A84" r:id="rId165" tooltip="Open live page" xr:uid="{CA8E0347-2A35-4338-880C-ADB28FFD8122}"/>
    <hyperlink ref="B84" r:id="rId166" tooltip="Open live page" xr:uid="{91F9D791-6644-4FCE-BB5C-286EDB911DE0}"/>
    <hyperlink ref="A85" r:id="rId167" tooltip="Open live page" xr:uid="{8E5443CB-0F1B-45A5-9C71-9D33BBB5C41E}"/>
    <hyperlink ref="B85" r:id="rId168" tooltip="Open live page" xr:uid="{B6DCB207-82A4-4971-B99F-D862F4A2FD7E}"/>
    <hyperlink ref="A86" r:id="rId169" tooltip="Open live page" xr:uid="{D4CA8156-0512-4BC9-83E9-3E1FD87C7A9E}"/>
    <hyperlink ref="B86" r:id="rId170" tooltip="Open live page" xr:uid="{252C311A-B0A3-4BD4-81F2-B767F86C947B}"/>
    <hyperlink ref="A87" r:id="rId171" tooltip="Open live page" xr:uid="{412D6117-8DD5-452B-9ADF-C169FCB784B6}"/>
    <hyperlink ref="B87" r:id="rId172" tooltip="Open live page" xr:uid="{2C309A2A-A04C-464D-B433-678493975111}"/>
    <hyperlink ref="A88" r:id="rId173" tooltip="Open live page" xr:uid="{ED6EE0E1-6E4B-4BDB-BC82-0A7397CDFE1B}"/>
    <hyperlink ref="B88" r:id="rId174" tooltip="Open live page" xr:uid="{F4035519-BFAB-416A-AD26-9BF4609C5D63}"/>
    <hyperlink ref="A89" r:id="rId175" tooltip="Open live page" xr:uid="{F2512C8F-1ABD-4057-936E-964628F02550}"/>
    <hyperlink ref="B89" r:id="rId176" tooltip="Open live page" xr:uid="{B4773FB8-0256-4294-B79C-1CABF17BFCC0}"/>
    <hyperlink ref="A90" r:id="rId177" tooltip="Open live page" xr:uid="{DA8D8CA8-7F19-48C3-8416-CD5758C1EF32}"/>
    <hyperlink ref="B90" r:id="rId178" tooltip="Open live page" xr:uid="{2EAD1B24-A83E-4D82-BAE3-0836613DE781}"/>
    <hyperlink ref="A91" r:id="rId179" tooltip="Open live page" xr:uid="{7D234CA0-44A5-493A-A0AA-B6355C05D8B4}"/>
    <hyperlink ref="B91" r:id="rId180" tooltip="Open live page" xr:uid="{F4191841-6A1F-43A1-9BD3-BC93FE3FF334}"/>
    <hyperlink ref="A92" r:id="rId181" tooltip="Open live page" xr:uid="{5ED750F3-02C1-461B-991C-89A1171D40F9}"/>
    <hyperlink ref="B92" r:id="rId182" tooltip="Open live page" xr:uid="{3F4FE4BF-48B6-4650-A7F8-2970C416AA0E}"/>
    <hyperlink ref="A93" r:id="rId183" tooltip="Open live page" xr:uid="{557D3913-5ABF-40AE-94CB-1E0339A0251C}"/>
    <hyperlink ref="B93" r:id="rId184" tooltip="Open live page" xr:uid="{1C2B7D1D-CC42-4338-A614-53168C299826}"/>
    <hyperlink ref="A94" r:id="rId185" tooltip="Open live page" xr:uid="{FCA33AC5-0F35-4489-B7D3-740BBBF34E73}"/>
    <hyperlink ref="B94" r:id="rId186" tooltip="Open live page" xr:uid="{28E32154-8251-4C8E-BD9F-695BD9A7ED3B}"/>
    <hyperlink ref="A95" r:id="rId187" tooltip="Open live page" xr:uid="{AB7C33EB-31D7-4B6E-A0D5-E45E40FC5022}"/>
    <hyperlink ref="B95" r:id="rId188" tooltip="Open live page" xr:uid="{3E878931-4796-4FDB-9173-93363469A56C}"/>
    <hyperlink ref="A96" r:id="rId189" tooltip="Open live page" xr:uid="{95961A71-AB29-4916-B0BD-3E90EDF1DD0B}"/>
    <hyperlink ref="B96" r:id="rId190" tooltip="Open live page" xr:uid="{2862B4FB-EF28-4FE7-B3E4-898B143D3E0B}"/>
    <hyperlink ref="A97" r:id="rId191" tooltip="Open live page" xr:uid="{83E02A57-4EAA-4AA9-A770-086C83440255}"/>
    <hyperlink ref="B97" r:id="rId192" tooltip="Open live page" xr:uid="{136A23C1-FB56-46FA-9731-2338531E41A3}"/>
    <hyperlink ref="A98" r:id="rId193" tooltip="Open live page" xr:uid="{B8E0CFFE-1719-4081-A227-9D7727638C71}"/>
    <hyperlink ref="B98" r:id="rId194" tooltip="Open live page" xr:uid="{0FE981DB-25A6-4051-A564-4F7A03FD080C}"/>
    <hyperlink ref="A99" r:id="rId195" tooltip="Open live page" xr:uid="{3E8A9939-A7E5-4C3C-98D9-8030544053E9}"/>
    <hyperlink ref="B99" r:id="rId196" tooltip="Open live page" xr:uid="{E9734C8F-BCC1-4E28-AE89-3599F496EC24}"/>
    <hyperlink ref="A100" r:id="rId197" tooltip="Open live page" xr:uid="{056954CB-EDCA-4824-A2DD-38973262A03F}"/>
    <hyperlink ref="B100" r:id="rId198" tooltip="Open live page" xr:uid="{DC49929F-3409-44A4-8F05-4D8FA7B09CB7}"/>
    <hyperlink ref="A101" r:id="rId199" tooltip="Open live page" xr:uid="{1D809F3C-FA2F-4685-AEBD-4E95C2FC4178}"/>
    <hyperlink ref="B101" r:id="rId200" tooltip="Open live page" xr:uid="{EF52BCFB-4DA0-46D4-872C-DDFB7A14B7EA}"/>
    <hyperlink ref="A102" r:id="rId201" tooltip="Open live page" xr:uid="{E14F80EA-DF59-4760-93BD-83ABAA3D15DF}"/>
    <hyperlink ref="B102" r:id="rId202" tooltip="Open live page" xr:uid="{4557293B-8C67-49F3-A525-66E730ABDE5B}"/>
    <hyperlink ref="A103" r:id="rId203" tooltip="Open live page" xr:uid="{3C692F0B-A637-4B67-9FFD-9C71CDFD6E49}"/>
    <hyperlink ref="B103" r:id="rId204" tooltip="Open live page" xr:uid="{8FEC2145-3756-4C18-B8E8-265437ADC001}"/>
    <hyperlink ref="A104" r:id="rId205" tooltip="Open live page" xr:uid="{8128CE6A-0848-4516-9A18-3E5C3D345368}"/>
    <hyperlink ref="B104" r:id="rId206" tooltip="Open live page" xr:uid="{9B9B49AE-DE05-45D7-AD25-C6E779A86845}"/>
    <hyperlink ref="A105" r:id="rId207" tooltip="Open live page" xr:uid="{2854A841-A5C2-4C14-9826-B1A7084F2949}"/>
    <hyperlink ref="B105" r:id="rId208" tooltip="Open live page" xr:uid="{4010C0CA-BB81-45BB-B2AB-F105B69FF478}"/>
    <hyperlink ref="A106" r:id="rId209" tooltip="Open live page" xr:uid="{B108FD8D-ACD6-4839-9E1A-370A58B8B18A}"/>
    <hyperlink ref="B106" r:id="rId210" tooltip="Open live page" xr:uid="{D4F68147-6065-4E54-B21F-9CB5060438A2}"/>
    <hyperlink ref="A107" r:id="rId211" tooltip="Open live page" xr:uid="{C0C3A13C-9988-4C13-8C7F-E0930BC5CD9A}"/>
    <hyperlink ref="B107" r:id="rId212" tooltip="Open live page" xr:uid="{3416C240-B15C-4F5F-BB01-E0EA7F04BC34}"/>
    <hyperlink ref="A108" r:id="rId213" tooltip="Open live page" xr:uid="{E1967EE1-0591-474F-8001-09E019989397}"/>
    <hyperlink ref="B108" r:id="rId214" tooltip="Open live page" xr:uid="{CEE02543-5892-4798-9F64-7D57F3A6E8DF}"/>
    <hyperlink ref="A109" r:id="rId215" tooltip="Open live page" xr:uid="{D234C150-F11F-47C4-9BD8-2EF7A8DE0864}"/>
    <hyperlink ref="B109" r:id="rId216" tooltip="Open live page" xr:uid="{771CB1BC-FBA6-48AA-BFF5-93331CC324B1}"/>
    <hyperlink ref="A110" r:id="rId217" tooltip="Open live page" xr:uid="{70C2D0D4-1D07-42AA-B608-56ADDC70CC72}"/>
    <hyperlink ref="B110" r:id="rId218" tooltip="Open live page" xr:uid="{7174C2DA-3ECE-4C9C-93EF-89A87B397536}"/>
    <hyperlink ref="A111" r:id="rId219" tooltip="Open live page" xr:uid="{1F1E9A64-8AE8-460E-936D-2E0B96B7539B}"/>
    <hyperlink ref="B111" r:id="rId220" tooltip="Open live page" xr:uid="{95F7C778-FCDF-4856-9A31-8CA47B5436AC}"/>
    <hyperlink ref="A112" r:id="rId221" tooltip="Open live page" xr:uid="{183DBDB0-8339-49A5-BC90-EFDA2354FFE3}"/>
    <hyperlink ref="B112" r:id="rId222" tooltip="Open live page" xr:uid="{FD33BE0C-B1F3-4D71-96AC-B1E04099FEFE}"/>
    <hyperlink ref="A113" r:id="rId223" tooltip="Open live page" xr:uid="{636F304B-F7F2-4E88-BE22-91A82619AD9A}"/>
    <hyperlink ref="B113" r:id="rId224" tooltip="Open live page" xr:uid="{07A30609-F16F-4118-9D3A-25DE87729917}"/>
    <hyperlink ref="A114" r:id="rId225" tooltip="Open live page" xr:uid="{B8AD1E6F-9861-4528-BCBB-E49B31FC65BF}"/>
    <hyperlink ref="B114" r:id="rId226" tooltip="Open live page" xr:uid="{7DEE6019-3D3F-4201-A42D-91A89B8D65A5}"/>
    <hyperlink ref="A115" r:id="rId227" tooltip="Open live page" xr:uid="{4E50CCA1-8A9D-4C2E-8DE6-138380010059}"/>
    <hyperlink ref="B115" r:id="rId228" tooltip="Open live page" xr:uid="{A97492A6-7096-4CF3-AF0E-25E80A7282B3}"/>
    <hyperlink ref="A116" r:id="rId229" tooltip="Open live page" xr:uid="{AF5A8E95-8C62-4FC7-ACA1-72CF78FACBD1}"/>
    <hyperlink ref="B116" r:id="rId230" tooltip="Open live page" xr:uid="{B8B5B8FE-4545-4E7C-9424-ACCD2814C720}"/>
    <hyperlink ref="A117" r:id="rId231" tooltip="Open live page" xr:uid="{9264FE90-3E74-4CEC-A0E0-04C87BE65AC6}"/>
    <hyperlink ref="B117" r:id="rId232" tooltip="Open live page" xr:uid="{28E18AAF-5421-4988-BA2E-C9555602E41C}"/>
    <hyperlink ref="A118" r:id="rId233" tooltip="Open live page" xr:uid="{886CD31E-AABF-4017-8778-9E87D05A928C}"/>
    <hyperlink ref="B118" r:id="rId234" tooltip="Open live page" xr:uid="{AD302A1F-294E-4A5B-AB8B-FB87AAA8D61F}"/>
    <hyperlink ref="A119" r:id="rId235" tooltip="Open live page" xr:uid="{A707C6CA-E8EA-4D42-B45D-62F84FED8F42}"/>
    <hyperlink ref="B119" r:id="rId236" tooltip="Open live page" xr:uid="{1D9FDE86-974C-4F78-AA27-1FB0CA62658B}"/>
    <hyperlink ref="A120" r:id="rId237" tooltip="Open live page" xr:uid="{9070B91F-DE44-48AC-AFD4-28ED96219E11}"/>
    <hyperlink ref="B120" r:id="rId238" tooltip="Open live page" xr:uid="{609F4BDA-60C9-439A-A57D-EFFFACA675FF}"/>
    <hyperlink ref="A121" r:id="rId239" tooltip="Open live page" xr:uid="{82E8C1E3-9B27-4381-BC33-2A979FD7E785}"/>
    <hyperlink ref="B121" r:id="rId240" tooltip="Open live page" xr:uid="{170A0119-6B2F-4896-A904-8FAF7A52B36A}"/>
  </hyperlinks>
  <pageMargins left="0.7" right="0.7" top="0.75" bottom="0.75" header="0.3" footer="0.3"/>
  <legacyDrawing r:id="rId24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Brashear</dc:creator>
  <cp:lastModifiedBy>Richard Brashear</cp:lastModifiedBy>
  <dcterms:created xsi:type="dcterms:W3CDTF">2026-06-23T18:07:14Z</dcterms:created>
  <dcterms:modified xsi:type="dcterms:W3CDTF">2026-08-28T00:37:17Z</dcterms:modified>
</cp:coreProperties>
</file>