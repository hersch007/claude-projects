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Revenue Detail" sheetId="2" state="visible" r:id="rId2"/>
    <sheet name="Expens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;($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color rgb="00000000"/>
    </font>
    <font>
      <name val="Arial"/>
      <b val="1"/>
    </font>
    <font>
      <name val="Arial"/>
      <b val="1"/>
      <color rgb="00000000"/>
      <sz val="9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7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0" fontId="7" fillId="0" borderId="1" pivotButton="0" quotePrefix="0" xfId="0"/>
    <xf numFmtId="166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165" fontId="3" fillId="0" borderId="0" pivotButton="0" quotePrefix="0" xfId="0"/>
    <xf numFmtId="166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Parts of Practice — 2026 Profit &amp; Loss by Month</t>
        </is>
      </c>
    </row>
    <row r="2">
      <c r="A2" s="2" t="inlineStr">
        <is>
          <t>GroupRB — Jan–Sep 2026 · all customers</t>
        </is>
      </c>
    </row>
    <row r="4">
      <c r="A4" s="3" t="inlineStr"/>
      <c r="B4" s="4" t="n">
        <v>46023</v>
      </c>
      <c r="C4" s="4" t="n">
        <v>46054</v>
      </c>
      <c r="D4" s="4" t="n">
        <v>46082</v>
      </c>
      <c r="E4" s="4" t="n">
        <v>46113</v>
      </c>
      <c r="F4" s="4" t="n">
        <v>46143</v>
      </c>
      <c r="G4" s="4" t="n">
        <v>46174</v>
      </c>
      <c r="H4" s="4" t="n">
        <v>46204</v>
      </c>
      <c r="I4" s="4" t="n">
        <v>46235</v>
      </c>
      <c r="J4" s="4" t="n">
        <v>46266</v>
      </c>
      <c r="K4" s="5" t="inlineStr">
        <is>
          <t>Total</t>
        </is>
      </c>
    </row>
    <row r="5">
      <c r="A5" s="6" t="inlineStr">
        <is>
          <t>Revenue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8" t="inlineStr">
        <is>
          <t>Membership Fee ($99/mo)</t>
        </is>
      </c>
      <c r="B6" s="9">
        <f>SUMIFS('Revenue Detail'!$D:$D,'Revenue Detail'!$C:$C,"Membership Fee",'Revenue Detail'!$A:$A,"&gt;="&amp;B$4,'Revenue Detail'!$A:$A,"&lt;"&amp;EDATE(B$4,1))</f>
        <v/>
      </c>
      <c r="C6" s="9">
        <f>SUMIFS('Revenue Detail'!$D:$D,'Revenue Detail'!$C:$C,"Membership Fee",'Revenue Detail'!$A:$A,"&gt;="&amp;C$4,'Revenue Detail'!$A:$A,"&lt;"&amp;EDATE(C$4,1))</f>
        <v/>
      </c>
      <c r="D6" s="9">
        <f>SUMIFS('Revenue Detail'!$D:$D,'Revenue Detail'!$C:$C,"Membership Fee",'Revenue Detail'!$A:$A,"&gt;="&amp;D$4,'Revenue Detail'!$A:$A,"&lt;"&amp;EDATE(D$4,1))</f>
        <v/>
      </c>
      <c r="E6" s="9">
        <f>SUMIFS('Revenue Detail'!$D:$D,'Revenue Detail'!$C:$C,"Membership Fee",'Revenue Detail'!$A:$A,"&gt;="&amp;E$4,'Revenue Detail'!$A:$A,"&lt;"&amp;EDATE(E$4,1))</f>
        <v/>
      </c>
      <c r="F6" s="9">
        <f>SUMIFS('Revenue Detail'!$D:$D,'Revenue Detail'!$C:$C,"Membership Fee",'Revenue Detail'!$A:$A,"&gt;="&amp;F$4,'Revenue Detail'!$A:$A,"&lt;"&amp;EDATE(F$4,1))</f>
        <v/>
      </c>
      <c r="G6" s="9">
        <f>SUMIFS('Revenue Detail'!$D:$D,'Revenue Detail'!$C:$C,"Membership Fee",'Revenue Detail'!$A:$A,"&gt;="&amp;G$4,'Revenue Detail'!$A:$A,"&lt;"&amp;EDATE(G$4,1))</f>
        <v/>
      </c>
      <c r="H6" s="9">
        <f>SUMIFS('Revenue Detail'!$D:$D,'Revenue Detail'!$C:$C,"Membership Fee",'Revenue Detail'!$A:$A,"&gt;="&amp;H$4,'Revenue Detail'!$A:$A,"&lt;"&amp;EDATE(H$4,1))</f>
        <v/>
      </c>
      <c r="I6" s="9">
        <f>SUMIFS('Revenue Detail'!$D:$D,'Revenue Detail'!$C:$C,"Membership Fee",'Revenue Detail'!$A:$A,"&gt;="&amp;I$4,'Revenue Detail'!$A:$A,"&lt;"&amp;EDATE(I$4,1))</f>
        <v/>
      </c>
      <c r="J6" s="9">
        <f>SUMIFS('Revenue Detail'!$D:$D,'Revenue Detail'!$C:$C,"Membership Fee",'Revenue Detail'!$A:$A,"&gt;="&amp;J$4,'Revenue Detail'!$A:$A,"&lt;"&amp;EDATE(J$4,1))</f>
        <v/>
      </c>
      <c r="K6" s="9">
        <f>SUM(B6:J6)</f>
        <v/>
      </c>
    </row>
    <row r="7">
      <c r="A7" s="3" t="inlineStr">
        <is>
          <t>Total Revenue</t>
        </is>
      </c>
      <c r="B7" s="10">
        <f>SUM(B6:B6)</f>
        <v/>
      </c>
      <c r="C7" s="10">
        <f>SUM(C6:C6)</f>
        <v/>
      </c>
      <c r="D7" s="10">
        <f>SUM(D6:D6)</f>
        <v/>
      </c>
      <c r="E7" s="10">
        <f>SUM(E6:E6)</f>
        <v/>
      </c>
      <c r="F7" s="10">
        <f>SUM(F6:F6)</f>
        <v/>
      </c>
      <c r="G7" s="10">
        <f>SUM(G6:G6)</f>
        <v/>
      </c>
      <c r="H7" s="10">
        <f>SUM(H6:H6)</f>
        <v/>
      </c>
      <c r="I7" s="10">
        <f>SUM(I6:I6)</f>
        <v/>
      </c>
      <c r="J7" s="10">
        <f>SUM(J6:J6)</f>
        <v/>
      </c>
      <c r="K7" s="10">
        <f>SUM(K6:K6)</f>
        <v/>
      </c>
    </row>
    <row r="9">
      <c r="A9" s="6" t="inlineStr">
        <is>
          <t>Expenses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8" t="inlineStr">
        <is>
          <t>Hosting</t>
        </is>
      </c>
      <c r="B10" s="9">
        <f>SUMIFS('Expense Detail'!$D:$D,'Expense Detail'!$C:$C,"Hosting",'Expense Detail'!$A:$A,"&gt;="&amp;B$4,'Expense Detail'!$A:$A,"&lt;"&amp;EDATE(B$4,1))</f>
        <v/>
      </c>
      <c r="C10" s="9">
        <f>SUMIFS('Expense Detail'!$D:$D,'Expense Detail'!$C:$C,"Hosting",'Expense Detail'!$A:$A,"&gt;="&amp;C$4,'Expense Detail'!$A:$A,"&lt;"&amp;EDATE(C$4,1))</f>
        <v/>
      </c>
      <c r="D10" s="9">
        <f>SUMIFS('Expense Detail'!$D:$D,'Expense Detail'!$C:$C,"Hosting",'Expense Detail'!$A:$A,"&gt;="&amp;D$4,'Expense Detail'!$A:$A,"&lt;"&amp;EDATE(D$4,1))</f>
        <v/>
      </c>
      <c r="E10" s="9">
        <f>SUMIFS('Expense Detail'!$D:$D,'Expense Detail'!$C:$C,"Hosting",'Expense Detail'!$A:$A,"&gt;="&amp;E$4,'Expense Detail'!$A:$A,"&lt;"&amp;EDATE(E$4,1))</f>
        <v/>
      </c>
      <c r="F10" s="9">
        <f>SUMIFS('Expense Detail'!$D:$D,'Expense Detail'!$C:$C,"Hosting",'Expense Detail'!$A:$A,"&gt;="&amp;F$4,'Expense Detail'!$A:$A,"&lt;"&amp;EDATE(F$4,1))</f>
        <v/>
      </c>
      <c r="G10" s="9">
        <f>SUMIFS('Expense Detail'!$D:$D,'Expense Detail'!$C:$C,"Hosting",'Expense Detail'!$A:$A,"&gt;="&amp;G$4,'Expense Detail'!$A:$A,"&lt;"&amp;EDATE(G$4,1))</f>
        <v/>
      </c>
      <c r="H10" s="9">
        <f>SUMIFS('Expense Detail'!$D:$D,'Expense Detail'!$C:$C,"Hosting",'Expense Detail'!$A:$A,"&gt;="&amp;H$4,'Expense Detail'!$A:$A,"&lt;"&amp;EDATE(H$4,1))</f>
        <v/>
      </c>
      <c r="I10" s="9">
        <f>SUMIFS('Expense Detail'!$D:$D,'Expense Detail'!$C:$C,"Hosting",'Expense Detail'!$A:$A,"&gt;="&amp;I$4,'Expense Detail'!$A:$A,"&lt;"&amp;EDATE(I$4,1))</f>
        <v/>
      </c>
      <c r="J10" s="9">
        <f>SUMIFS('Expense Detail'!$D:$D,'Expense Detail'!$C:$C,"Hosting",'Expense Detail'!$A:$A,"&gt;="&amp;J$4,'Expense Detail'!$A:$A,"&lt;"&amp;EDATE(J$4,1))</f>
        <v/>
      </c>
      <c r="K10" s="9">
        <f>SUM(B10:J10)</f>
        <v/>
      </c>
    </row>
    <row r="11">
      <c r="A11" s="8" t="inlineStr">
        <is>
          <t>Seobility</t>
        </is>
      </c>
      <c r="B11" s="9">
        <f>SUMIFS('Expense Detail'!$D:$D,'Expense Detail'!$C:$C,"Seobility",'Expense Detail'!$A:$A,"&gt;="&amp;B$4,'Expense Detail'!$A:$A,"&lt;"&amp;EDATE(B$4,1))</f>
        <v/>
      </c>
      <c r="C11" s="9">
        <f>SUMIFS('Expense Detail'!$D:$D,'Expense Detail'!$C:$C,"Seobility",'Expense Detail'!$A:$A,"&gt;="&amp;C$4,'Expense Detail'!$A:$A,"&lt;"&amp;EDATE(C$4,1))</f>
        <v/>
      </c>
      <c r="D11" s="9">
        <f>SUMIFS('Expense Detail'!$D:$D,'Expense Detail'!$C:$C,"Seobility",'Expense Detail'!$A:$A,"&gt;="&amp;D$4,'Expense Detail'!$A:$A,"&lt;"&amp;EDATE(D$4,1))</f>
        <v/>
      </c>
      <c r="E11" s="9">
        <f>SUMIFS('Expense Detail'!$D:$D,'Expense Detail'!$C:$C,"Seobility",'Expense Detail'!$A:$A,"&gt;="&amp;E$4,'Expense Detail'!$A:$A,"&lt;"&amp;EDATE(E$4,1))</f>
        <v/>
      </c>
      <c r="F11" s="9">
        <f>SUMIFS('Expense Detail'!$D:$D,'Expense Detail'!$C:$C,"Seobility",'Expense Detail'!$A:$A,"&gt;="&amp;F$4,'Expense Detail'!$A:$A,"&lt;"&amp;EDATE(F$4,1))</f>
        <v/>
      </c>
      <c r="G11" s="9">
        <f>SUMIFS('Expense Detail'!$D:$D,'Expense Detail'!$C:$C,"Seobility",'Expense Detail'!$A:$A,"&gt;="&amp;G$4,'Expense Detail'!$A:$A,"&lt;"&amp;EDATE(G$4,1))</f>
        <v/>
      </c>
      <c r="H11" s="9">
        <f>SUMIFS('Expense Detail'!$D:$D,'Expense Detail'!$C:$C,"Seobility",'Expense Detail'!$A:$A,"&gt;="&amp;H$4,'Expense Detail'!$A:$A,"&lt;"&amp;EDATE(H$4,1))</f>
        <v/>
      </c>
      <c r="I11" s="9">
        <f>SUMIFS('Expense Detail'!$D:$D,'Expense Detail'!$C:$C,"Seobility",'Expense Detail'!$A:$A,"&gt;="&amp;I$4,'Expense Detail'!$A:$A,"&lt;"&amp;EDATE(I$4,1))</f>
        <v/>
      </c>
      <c r="J11" s="9">
        <f>SUMIFS('Expense Detail'!$D:$D,'Expense Detail'!$C:$C,"Seobility",'Expense Detail'!$A:$A,"&gt;="&amp;J$4,'Expense Detail'!$A:$A,"&lt;"&amp;EDATE(J$4,1))</f>
        <v/>
      </c>
      <c r="K11" s="9">
        <f>SUM(B11:J11)</f>
        <v/>
      </c>
    </row>
    <row r="12">
      <c r="A12" s="8" t="inlineStr">
        <is>
          <t>Ubersuggest</t>
        </is>
      </c>
      <c r="B12" s="9">
        <f>SUMIFS('Expense Detail'!$D:$D,'Expense Detail'!$C:$C,"Ubersuggest",'Expense Detail'!$A:$A,"&gt;="&amp;B$4,'Expense Detail'!$A:$A,"&lt;"&amp;EDATE(B$4,1))</f>
        <v/>
      </c>
      <c r="C12" s="9">
        <f>SUMIFS('Expense Detail'!$D:$D,'Expense Detail'!$C:$C,"Ubersuggest",'Expense Detail'!$A:$A,"&gt;="&amp;C$4,'Expense Detail'!$A:$A,"&lt;"&amp;EDATE(C$4,1))</f>
        <v/>
      </c>
      <c r="D12" s="9">
        <f>SUMIFS('Expense Detail'!$D:$D,'Expense Detail'!$C:$C,"Ubersuggest",'Expense Detail'!$A:$A,"&gt;="&amp;D$4,'Expense Detail'!$A:$A,"&lt;"&amp;EDATE(D$4,1))</f>
        <v/>
      </c>
      <c r="E12" s="9">
        <f>SUMIFS('Expense Detail'!$D:$D,'Expense Detail'!$C:$C,"Ubersuggest",'Expense Detail'!$A:$A,"&gt;="&amp;E$4,'Expense Detail'!$A:$A,"&lt;"&amp;EDATE(E$4,1))</f>
        <v/>
      </c>
      <c r="F12" s="9">
        <f>SUMIFS('Expense Detail'!$D:$D,'Expense Detail'!$C:$C,"Ubersuggest",'Expense Detail'!$A:$A,"&gt;="&amp;F$4,'Expense Detail'!$A:$A,"&lt;"&amp;EDATE(F$4,1))</f>
        <v/>
      </c>
      <c r="G12" s="9">
        <f>SUMIFS('Expense Detail'!$D:$D,'Expense Detail'!$C:$C,"Ubersuggest",'Expense Detail'!$A:$A,"&gt;="&amp;G$4,'Expense Detail'!$A:$A,"&lt;"&amp;EDATE(G$4,1))</f>
        <v/>
      </c>
      <c r="H12" s="9">
        <f>SUMIFS('Expense Detail'!$D:$D,'Expense Detail'!$C:$C,"Ubersuggest",'Expense Detail'!$A:$A,"&gt;="&amp;H$4,'Expense Detail'!$A:$A,"&lt;"&amp;EDATE(H$4,1))</f>
        <v/>
      </c>
      <c r="I12" s="9">
        <f>SUMIFS('Expense Detail'!$D:$D,'Expense Detail'!$C:$C,"Ubersuggest",'Expense Detail'!$A:$A,"&gt;="&amp;I$4,'Expense Detail'!$A:$A,"&lt;"&amp;EDATE(I$4,1))</f>
        <v/>
      </c>
      <c r="J12" s="9">
        <f>SUMIFS('Expense Detail'!$D:$D,'Expense Detail'!$C:$C,"Ubersuggest",'Expense Detail'!$A:$A,"&gt;="&amp;J$4,'Expense Detail'!$A:$A,"&lt;"&amp;EDATE(J$4,1))</f>
        <v/>
      </c>
      <c r="K12" s="9">
        <f>SUM(B12:J12)</f>
        <v/>
      </c>
    </row>
    <row r="13">
      <c r="A13" s="8" t="inlineStr">
        <is>
          <t>Billing Fee</t>
        </is>
      </c>
      <c r="B13" s="9">
        <f>SUMIFS('Expense Detail'!$D:$D,'Expense Detail'!$C:$C,"Billing Fee",'Expense Detail'!$A:$A,"&gt;="&amp;B$4,'Expense Detail'!$A:$A,"&lt;"&amp;EDATE(B$4,1))</f>
        <v/>
      </c>
      <c r="C13" s="9">
        <f>SUMIFS('Expense Detail'!$D:$D,'Expense Detail'!$C:$C,"Billing Fee",'Expense Detail'!$A:$A,"&gt;="&amp;C$4,'Expense Detail'!$A:$A,"&lt;"&amp;EDATE(C$4,1))</f>
        <v/>
      </c>
      <c r="D13" s="9">
        <f>SUMIFS('Expense Detail'!$D:$D,'Expense Detail'!$C:$C,"Billing Fee",'Expense Detail'!$A:$A,"&gt;="&amp;D$4,'Expense Detail'!$A:$A,"&lt;"&amp;EDATE(D$4,1))</f>
        <v/>
      </c>
      <c r="E13" s="9">
        <f>SUMIFS('Expense Detail'!$D:$D,'Expense Detail'!$C:$C,"Billing Fee",'Expense Detail'!$A:$A,"&gt;="&amp;E$4,'Expense Detail'!$A:$A,"&lt;"&amp;EDATE(E$4,1))</f>
        <v/>
      </c>
      <c r="F13" s="9">
        <f>SUMIFS('Expense Detail'!$D:$D,'Expense Detail'!$C:$C,"Billing Fee",'Expense Detail'!$A:$A,"&gt;="&amp;F$4,'Expense Detail'!$A:$A,"&lt;"&amp;EDATE(F$4,1))</f>
        <v/>
      </c>
      <c r="G13" s="9">
        <f>SUMIFS('Expense Detail'!$D:$D,'Expense Detail'!$C:$C,"Billing Fee",'Expense Detail'!$A:$A,"&gt;="&amp;G$4,'Expense Detail'!$A:$A,"&lt;"&amp;EDATE(G$4,1))</f>
        <v/>
      </c>
      <c r="H13" s="9">
        <f>SUMIFS('Expense Detail'!$D:$D,'Expense Detail'!$C:$C,"Billing Fee",'Expense Detail'!$A:$A,"&gt;="&amp;H$4,'Expense Detail'!$A:$A,"&lt;"&amp;EDATE(H$4,1))</f>
        <v/>
      </c>
      <c r="I13" s="9">
        <f>SUMIFS('Expense Detail'!$D:$D,'Expense Detail'!$C:$C,"Billing Fee",'Expense Detail'!$A:$A,"&gt;="&amp;I$4,'Expense Detail'!$A:$A,"&lt;"&amp;EDATE(I$4,1))</f>
        <v/>
      </c>
      <c r="J13" s="9">
        <f>SUMIFS('Expense Detail'!$D:$D,'Expense Detail'!$C:$C,"Billing Fee",'Expense Detail'!$A:$A,"&gt;="&amp;J$4,'Expense Detail'!$A:$A,"&lt;"&amp;EDATE(J$4,1))</f>
        <v/>
      </c>
      <c r="K13" s="9">
        <f>SUM(B13:J13)</f>
        <v/>
      </c>
    </row>
    <row r="14">
      <c r="A14" s="3" t="inlineStr">
        <is>
          <t>Total Expenses</t>
        </is>
      </c>
      <c r="B14" s="10">
        <f>SUM(B10:B13)</f>
        <v/>
      </c>
      <c r="C14" s="10">
        <f>SUM(C10:C13)</f>
        <v/>
      </c>
      <c r="D14" s="10">
        <f>SUM(D10:D13)</f>
        <v/>
      </c>
      <c r="E14" s="10">
        <f>SUM(E10:E13)</f>
        <v/>
      </c>
      <c r="F14" s="10">
        <f>SUM(F10:F13)</f>
        <v/>
      </c>
      <c r="G14" s="10">
        <f>SUM(G10:G13)</f>
        <v/>
      </c>
      <c r="H14" s="10">
        <f>SUM(H10:H13)</f>
        <v/>
      </c>
      <c r="I14" s="10">
        <f>SUM(I10:I13)</f>
        <v/>
      </c>
      <c r="J14" s="10">
        <f>SUM(J10:J13)</f>
        <v/>
      </c>
      <c r="K14" s="10">
        <f>SUM(K10:K13)</f>
        <v/>
      </c>
    </row>
    <row r="16">
      <c r="A16" s="11" t="inlineStr">
        <is>
          <t>Net Income</t>
        </is>
      </c>
      <c r="B16" s="12">
        <f>B7-B14</f>
        <v/>
      </c>
      <c r="C16" s="12">
        <f>C7-C14</f>
        <v/>
      </c>
      <c r="D16" s="12">
        <f>D7-D14</f>
        <v/>
      </c>
      <c r="E16" s="12">
        <f>E7-E14</f>
        <v/>
      </c>
      <c r="F16" s="12">
        <f>F7-F14</f>
        <v/>
      </c>
      <c r="G16" s="12">
        <f>G7-G14</f>
        <v/>
      </c>
      <c r="H16" s="12">
        <f>H7-H14</f>
        <v/>
      </c>
      <c r="I16" s="12">
        <f>I7-I14</f>
        <v/>
      </c>
      <c r="J16" s="12">
        <f>J7-J14</f>
        <v/>
      </c>
      <c r="K16" s="12">
        <f>K7-K14</f>
        <v/>
      </c>
    </row>
    <row r="19">
      <c r="A19" s="13" t="inlineStr">
        <is>
          <t>Notes / assumptions:</t>
        </is>
      </c>
    </row>
    <row r="20">
      <c r="A20" s="14" t="inlineStr">
        <is>
          <t>- Membership Fee revenue is pulled directly from the recorded Invoice rows in Revenue-source.xlsx (actual invoice dates, not evenly smoothed).</t>
        </is>
      </c>
    </row>
    <row r="21">
      <c r="A21" s="14" t="inlineStr">
        <is>
          <t xml:space="preserve">  Feb and Apr show $0 because no invoice was recorded those months in the source file; Sep shows $0 because no Sep membership invoice has been recorded yet.</t>
        </is>
      </c>
    </row>
    <row r="22">
      <c r="A22" s="14" t="inlineStr">
        <is>
          <t>- Hosting, Seobility, Ubersuggest and Billing Fee are GroupRB out-of-pocket costs to deliver Parts of Practice, entered per the schedule you gave:</t>
        </is>
      </c>
    </row>
    <row r="23">
      <c r="A23" s="14" t="inlineStr">
        <is>
          <t xml:space="preserve">  Hosting $10/mo and Billing Fee $3/mo — Andy Studer &amp; Gratitude Jan-Sep, Guidance Through Grief Sep only.</t>
        </is>
      </c>
    </row>
    <row r="24">
      <c r="A24" s="14" t="inlineStr">
        <is>
          <t xml:space="preserve">  Seobility $5/mo and Ubersuggest $6/mo — Andy Studer &amp; Gratitude only, Jan-Sep (not billed for Grief).</t>
        </is>
      </c>
    </row>
    <row r="25">
      <c r="A25" s="14" t="inlineStr">
        <is>
          <t>- "Billing Fee" is my label for the $3/mo charge described as "monthly billing charge" — rename in the Expense Detail sheet if you use a different name internally.</t>
        </is>
      </c>
    </row>
    <row r="26">
      <c r="A26" s="14" t="inlineStr">
        <is>
          <t>- All monthly charges are dated the 1st of the month per your instructions ("billed on the 1st").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</cols>
  <sheetData>
    <row r="1">
      <c r="A1" s="15" t="inlineStr">
        <is>
          <t>Date</t>
        </is>
      </c>
      <c r="B1" s="15" t="inlineStr">
        <is>
          <t>Customer</t>
        </is>
      </c>
      <c r="C1" s="15" t="inlineStr">
        <is>
          <t>Category</t>
        </is>
      </c>
      <c r="D1" s="15" t="inlineStr">
        <is>
          <t>Amount</t>
        </is>
      </c>
    </row>
    <row r="2">
      <c r="A2" s="16" t="n">
        <v>46053</v>
      </c>
      <c r="B2" s="8" t="inlineStr">
        <is>
          <t>Andy Studer Therapy</t>
        </is>
      </c>
      <c r="C2" s="8" t="inlineStr">
        <is>
          <t>Membership Fee</t>
        </is>
      </c>
      <c r="D2" s="17" t="n">
        <v>99</v>
      </c>
    </row>
    <row r="3">
      <c r="A3" s="16" t="n">
        <v>46053</v>
      </c>
      <c r="B3" s="8" t="inlineStr">
        <is>
          <t>Gratitude and Growth Counseling LLC</t>
        </is>
      </c>
      <c r="C3" s="8" t="inlineStr">
        <is>
          <t>Membership Fee</t>
        </is>
      </c>
      <c r="D3" s="17" t="n">
        <v>99</v>
      </c>
    </row>
    <row r="4">
      <c r="A4" s="16" t="n">
        <v>46083</v>
      </c>
      <c r="B4" s="8" t="inlineStr">
        <is>
          <t>Andy Studer Therapy</t>
        </is>
      </c>
      <c r="C4" s="8" t="inlineStr">
        <is>
          <t>Membership Fee</t>
        </is>
      </c>
      <c r="D4" s="17" t="n">
        <v>99</v>
      </c>
    </row>
    <row r="5">
      <c r="A5" s="16" t="n">
        <v>46083</v>
      </c>
      <c r="B5" s="8" t="inlineStr">
        <is>
          <t>Gratitude and Growth Counseling LLC</t>
        </is>
      </c>
      <c r="C5" s="8" t="inlineStr">
        <is>
          <t>Membership Fee</t>
        </is>
      </c>
      <c r="D5" s="17" t="n">
        <v>99</v>
      </c>
    </row>
    <row r="6">
      <c r="A6" s="16" t="n">
        <v>46112</v>
      </c>
      <c r="B6" s="8" t="inlineStr">
        <is>
          <t>Andy Studer Therapy</t>
        </is>
      </c>
      <c r="C6" s="8" t="inlineStr">
        <is>
          <t>Membership Fee</t>
        </is>
      </c>
      <c r="D6" s="17" t="n">
        <v>99</v>
      </c>
    </row>
    <row r="7">
      <c r="A7" s="16" t="n">
        <v>46112</v>
      </c>
      <c r="B7" s="8" t="inlineStr">
        <is>
          <t>Gratitude and Growth Counseling LLC</t>
        </is>
      </c>
      <c r="C7" s="8" t="inlineStr">
        <is>
          <t>Membership Fee</t>
        </is>
      </c>
      <c r="D7" s="17" t="n">
        <v>99</v>
      </c>
    </row>
    <row r="8">
      <c r="A8" s="16" t="n">
        <v>46146</v>
      </c>
      <c r="B8" s="8" t="inlineStr">
        <is>
          <t>Andy Studer Therapy</t>
        </is>
      </c>
      <c r="C8" s="8" t="inlineStr">
        <is>
          <t>Membership Fee</t>
        </is>
      </c>
      <c r="D8" s="17" t="n">
        <v>99</v>
      </c>
    </row>
    <row r="9">
      <c r="A9" s="16" t="n">
        <v>46146</v>
      </c>
      <c r="B9" s="8" t="inlineStr">
        <is>
          <t>Gratitude and Growth Counseling LLC</t>
        </is>
      </c>
      <c r="C9" s="8" t="inlineStr">
        <is>
          <t>Membership Fee</t>
        </is>
      </c>
      <c r="D9" s="17" t="n">
        <v>99</v>
      </c>
    </row>
    <row r="10">
      <c r="A10" s="16" t="n">
        <v>46181</v>
      </c>
      <c r="B10" s="8" t="inlineStr">
        <is>
          <t>Andy Studer Therapy</t>
        </is>
      </c>
      <c r="C10" s="8" t="inlineStr">
        <is>
          <t>Membership Fee</t>
        </is>
      </c>
      <c r="D10" s="17" t="n">
        <v>99</v>
      </c>
    </row>
    <row r="11">
      <c r="A11" s="16" t="n">
        <v>46181</v>
      </c>
      <c r="B11" s="8" t="inlineStr">
        <is>
          <t>Gratitude and Growth Counseling LLC</t>
        </is>
      </c>
      <c r="C11" s="8" t="inlineStr">
        <is>
          <t>Membership Fee</t>
        </is>
      </c>
      <c r="D11" s="17" t="n">
        <v>99</v>
      </c>
    </row>
    <row r="12">
      <c r="A12" s="16" t="n">
        <v>46204</v>
      </c>
      <c r="B12" s="8" t="inlineStr">
        <is>
          <t>Andy Studer Therapy</t>
        </is>
      </c>
      <c r="C12" s="8" t="inlineStr">
        <is>
          <t>Membership Fee</t>
        </is>
      </c>
      <c r="D12" s="17" t="n">
        <v>99</v>
      </c>
    </row>
    <row r="13">
      <c r="A13" s="16" t="n">
        <v>46204</v>
      </c>
      <c r="B13" s="8" t="inlineStr">
        <is>
          <t>Gratitude and Growth Counseling LLC</t>
        </is>
      </c>
      <c r="C13" s="8" t="inlineStr">
        <is>
          <t>Membership Fee</t>
        </is>
      </c>
      <c r="D13" s="17" t="n">
        <v>99</v>
      </c>
    </row>
    <row r="14">
      <c r="A14" s="16" t="n">
        <v>46239</v>
      </c>
      <c r="B14" s="8" t="inlineStr">
        <is>
          <t>Andy Studer Therapy</t>
        </is>
      </c>
      <c r="C14" s="8" t="inlineStr">
        <is>
          <t>Membership Fee</t>
        </is>
      </c>
      <c r="D14" s="17" t="n">
        <v>99</v>
      </c>
    </row>
    <row r="15">
      <c r="A15" s="16" t="n">
        <v>46239</v>
      </c>
      <c r="B15" s="8" t="inlineStr">
        <is>
          <t>Gratitude and Growth Counseling LLC</t>
        </is>
      </c>
      <c r="C15" s="8" t="inlineStr">
        <is>
          <t>Membership Fee</t>
        </is>
      </c>
      <c r="D15" s="17" t="n">
        <v>99</v>
      </c>
    </row>
    <row r="16">
      <c r="A16" s="16" t="n">
        <v>46239</v>
      </c>
      <c r="B16" s="8" t="inlineStr">
        <is>
          <t>Guidance Through Grief Counseling Center, PLLC</t>
        </is>
      </c>
      <c r="C16" s="8" t="inlineStr">
        <is>
          <t>Membership Fee</t>
        </is>
      </c>
      <c r="D16" s="17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</cols>
  <sheetData>
    <row r="1">
      <c r="A1" s="15" t="inlineStr">
        <is>
          <t>Date</t>
        </is>
      </c>
      <c r="B1" s="15" t="inlineStr">
        <is>
          <t>Customer</t>
        </is>
      </c>
      <c r="C1" s="15" t="inlineStr">
        <is>
          <t>Category</t>
        </is>
      </c>
      <c r="D1" s="15" t="inlineStr">
        <is>
          <t>Amount</t>
        </is>
      </c>
    </row>
    <row r="2">
      <c r="A2" s="18" t="n">
        <v>46023</v>
      </c>
      <c r="B2" t="inlineStr">
        <is>
          <t>Andy Studer Therapy</t>
        </is>
      </c>
      <c r="C2" t="inlineStr">
        <is>
          <t>Billing Fee</t>
        </is>
      </c>
      <c r="D2" s="17" t="n">
        <v>3</v>
      </c>
    </row>
    <row r="3">
      <c r="A3" s="18" t="n">
        <v>46023</v>
      </c>
      <c r="B3" t="inlineStr">
        <is>
          <t>Gratitude and Growth Counseling LLC</t>
        </is>
      </c>
      <c r="C3" t="inlineStr">
        <is>
          <t>Billing Fee</t>
        </is>
      </c>
      <c r="D3" s="17" t="n">
        <v>3</v>
      </c>
    </row>
    <row r="4">
      <c r="A4" s="18" t="n">
        <v>46023</v>
      </c>
      <c r="B4" t="inlineStr">
        <is>
          <t>Andy Studer Therapy</t>
        </is>
      </c>
      <c r="C4" t="inlineStr">
        <is>
          <t>Hosting</t>
        </is>
      </c>
      <c r="D4" s="17" t="n">
        <v>10</v>
      </c>
    </row>
    <row r="5">
      <c r="A5" s="18" t="n">
        <v>46023</v>
      </c>
      <c r="B5" t="inlineStr">
        <is>
          <t>Gratitude and Growth Counseling LLC</t>
        </is>
      </c>
      <c r="C5" t="inlineStr">
        <is>
          <t>Hosting</t>
        </is>
      </c>
      <c r="D5" s="17" t="n">
        <v>10</v>
      </c>
    </row>
    <row r="6">
      <c r="A6" s="18" t="n">
        <v>46023</v>
      </c>
      <c r="B6" t="inlineStr">
        <is>
          <t>Andy Studer Therapy</t>
        </is>
      </c>
      <c r="C6" t="inlineStr">
        <is>
          <t>Seobility</t>
        </is>
      </c>
      <c r="D6" s="17" t="n">
        <v>5</v>
      </c>
    </row>
    <row r="7">
      <c r="A7" s="18" t="n">
        <v>46023</v>
      </c>
      <c r="B7" t="inlineStr">
        <is>
          <t>Gratitude and Growth Counseling LLC</t>
        </is>
      </c>
      <c r="C7" t="inlineStr">
        <is>
          <t>Seobility</t>
        </is>
      </c>
      <c r="D7" s="17" t="n">
        <v>5</v>
      </c>
    </row>
    <row r="8">
      <c r="A8" s="18" t="n">
        <v>46023</v>
      </c>
      <c r="B8" t="inlineStr">
        <is>
          <t>Andy Studer Therapy</t>
        </is>
      </c>
      <c r="C8" t="inlineStr">
        <is>
          <t>Ubersuggest</t>
        </is>
      </c>
      <c r="D8" s="17" t="n">
        <v>6</v>
      </c>
    </row>
    <row r="9">
      <c r="A9" s="18" t="n">
        <v>46023</v>
      </c>
      <c r="B9" t="inlineStr">
        <is>
          <t>Gratitude and Growth Counseling LLC</t>
        </is>
      </c>
      <c r="C9" t="inlineStr">
        <is>
          <t>Ubersuggest</t>
        </is>
      </c>
      <c r="D9" s="17" t="n">
        <v>6</v>
      </c>
    </row>
    <row r="10">
      <c r="A10" s="18" t="n">
        <v>46054</v>
      </c>
      <c r="B10" t="inlineStr">
        <is>
          <t>Andy Studer Therapy</t>
        </is>
      </c>
      <c r="C10" t="inlineStr">
        <is>
          <t>Billing Fee</t>
        </is>
      </c>
      <c r="D10" s="17" t="n">
        <v>3</v>
      </c>
    </row>
    <row r="11">
      <c r="A11" s="18" t="n">
        <v>46054</v>
      </c>
      <c r="B11" t="inlineStr">
        <is>
          <t>Gratitude and Growth Counseling LLC</t>
        </is>
      </c>
      <c r="C11" t="inlineStr">
        <is>
          <t>Billing Fee</t>
        </is>
      </c>
      <c r="D11" s="17" t="n">
        <v>3</v>
      </c>
    </row>
    <row r="12">
      <c r="A12" s="18" t="n">
        <v>46054</v>
      </c>
      <c r="B12" t="inlineStr">
        <is>
          <t>Andy Studer Therapy</t>
        </is>
      </c>
      <c r="C12" t="inlineStr">
        <is>
          <t>Hosting</t>
        </is>
      </c>
      <c r="D12" s="17" t="n">
        <v>10</v>
      </c>
    </row>
    <row r="13">
      <c r="A13" s="18" t="n">
        <v>46054</v>
      </c>
      <c r="B13" t="inlineStr">
        <is>
          <t>Gratitude and Growth Counseling LLC</t>
        </is>
      </c>
      <c r="C13" t="inlineStr">
        <is>
          <t>Hosting</t>
        </is>
      </c>
      <c r="D13" s="17" t="n">
        <v>10</v>
      </c>
    </row>
    <row r="14">
      <c r="A14" s="18" t="n">
        <v>46054</v>
      </c>
      <c r="B14" t="inlineStr">
        <is>
          <t>Andy Studer Therapy</t>
        </is>
      </c>
      <c r="C14" t="inlineStr">
        <is>
          <t>Seobility</t>
        </is>
      </c>
      <c r="D14" s="17" t="n">
        <v>5</v>
      </c>
    </row>
    <row r="15">
      <c r="A15" s="18" t="n">
        <v>46054</v>
      </c>
      <c r="B15" t="inlineStr">
        <is>
          <t>Gratitude and Growth Counseling LLC</t>
        </is>
      </c>
      <c r="C15" t="inlineStr">
        <is>
          <t>Seobility</t>
        </is>
      </c>
      <c r="D15" s="17" t="n">
        <v>5</v>
      </c>
    </row>
    <row r="16">
      <c r="A16" s="18" t="n">
        <v>46054</v>
      </c>
      <c r="B16" t="inlineStr">
        <is>
          <t>Andy Studer Therapy</t>
        </is>
      </c>
      <c r="C16" t="inlineStr">
        <is>
          <t>Ubersuggest</t>
        </is>
      </c>
      <c r="D16" s="17" t="n">
        <v>6</v>
      </c>
    </row>
    <row r="17">
      <c r="A17" s="18" t="n">
        <v>46054</v>
      </c>
      <c r="B17" t="inlineStr">
        <is>
          <t>Gratitude and Growth Counseling LLC</t>
        </is>
      </c>
      <c r="C17" t="inlineStr">
        <is>
          <t>Ubersuggest</t>
        </is>
      </c>
      <c r="D17" s="17" t="n">
        <v>6</v>
      </c>
    </row>
    <row r="18">
      <c r="A18" s="18" t="n">
        <v>46082</v>
      </c>
      <c r="B18" t="inlineStr">
        <is>
          <t>Andy Studer Therapy</t>
        </is>
      </c>
      <c r="C18" t="inlineStr">
        <is>
          <t>Billing Fee</t>
        </is>
      </c>
      <c r="D18" s="17" t="n">
        <v>3</v>
      </c>
    </row>
    <row r="19">
      <c r="A19" s="18" t="n">
        <v>46082</v>
      </c>
      <c r="B19" t="inlineStr">
        <is>
          <t>Gratitude and Growth Counseling LLC</t>
        </is>
      </c>
      <c r="C19" t="inlineStr">
        <is>
          <t>Billing Fee</t>
        </is>
      </c>
      <c r="D19" s="17" t="n">
        <v>3</v>
      </c>
    </row>
    <row r="20">
      <c r="A20" s="18" t="n">
        <v>46082</v>
      </c>
      <c r="B20" t="inlineStr">
        <is>
          <t>Andy Studer Therapy</t>
        </is>
      </c>
      <c r="C20" t="inlineStr">
        <is>
          <t>Hosting</t>
        </is>
      </c>
      <c r="D20" s="17" t="n">
        <v>10</v>
      </c>
    </row>
    <row r="21">
      <c r="A21" s="18" t="n">
        <v>46082</v>
      </c>
      <c r="B21" t="inlineStr">
        <is>
          <t>Gratitude and Growth Counseling LLC</t>
        </is>
      </c>
      <c r="C21" t="inlineStr">
        <is>
          <t>Hosting</t>
        </is>
      </c>
      <c r="D21" s="17" t="n">
        <v>10</v>
      </c>
    </row>
    <row r="22">
      <c r="A22" s="18" t="n">
        <v>46082</v>
      </c>
      <c r="B22" t="inlineStr">
        <is>
          <t>Andy Studer Therapy</t>
        </is>
      </c>
      <c r="C22" t="inlineStr">
        <is>
          <t>Seobility</t>
        </is>
      </c>
      <c r="D22" s="17" t="n">
        <v>5</v>
      </c>
    </row>
    <row r="23">
      <c r="A23" s="18" t="n">
        <v>46082</v>
      </c>
      <c r="B23" t="inlineStr">
        <is>
          <t>Gratitude and Growth Counseling LLC</t>
        </is>
      </c>
      <c r="C23" t="inlineStr">
        <is>
          <t>Seobility</t>
        </is>
      </c>
      <c r="D23" s="17" t="n">
        <v>5</v>
      </c>
    </row>
    <row r="24">
      <c r="A24" s="18" t="n">
        <v>46082</v>
      </c>
      <c r="B24" t="inlineStr">
        <is>
          <t>Andy Studer Therapy</t>
        </is>
      </c>
      <c r="C24" t="inlineStr">
        <is>
          <t>Ubersuggest</t>
        </is>
      </c>
      <c r="D24" s="17" t="n">
        <v>6</v>
      </c>
    </row>
    <row r="25">
      <c r="A25" s="18" t="n">
        <v>46082</v>
      </c>
      <c r="B25" t="inlineStr">
        <is>
          <t>Gratitude and Growth Counseling LLC</t>
        </is>
      </c>
      <c r="C25" t="inlineStr">
        <is>
          <t>Ubersuggest</t>
        </is>
      </c>
      <c r="D25" s="17" t="n">
        <v>6</v>
      </c>
    </row>
    <row r="26">
      <c r="A26" s="18" t="n">
        <v>46113</v>
      </c>
      <c r="B26" t="inlineStr">
        <is>
          <t>Andy Studer Therapy</t>
        </is>
      </c>
      <c r="C26" t="inlineStr">
        <is>
          <t>Billing Fee</t>
        </is>
      </c>
      <c r="D26" s="17" t="n">
        <v>3</v>
      </c>
    </row>
    <row r="27">
      <c r="A27" s="18" t="n">
        <v>46113</v>
      </c>
      <c r="B27" t="inlineStr">
        <is>
          <t>Gratitude and Growth Counseling LLC</t>
        </is>
      </c>
      <c r="C27" t="inlineStr">
        <is>
          <t>Billing Fee</t>
        </is>
      </c>
      <c r="D27" s="17" t="n">
        <v>3</v>
      </c>
    </row>
    <row r="28">
      <c r="A28" s="18" t="n">
        <v>46113</v>
      </c>
      <c r="B28" t="inlineStr">
        <is>
          <t>Andy Studer Therapy</t>
        </is>
      </c>
      <c r="C28" t="inlineStr">
        <is>
          <t>Hosting</t>
        </is>
      </c>
      <c r="D28" s="17" t="n">
        <v>10</v>
      </c>
    </row>
    <row r="29">
      <c r="A29" s="18" t="n">
        <v>46113</v>
      </c>
      <c r="B29" t="inlineStr">
        <is>
          <t>Gratitude and Growth Counseling LLC</t>
        </is>
      </c>
      <c r="C29" t="inlineStr">
        <is>
          <t>Hosting</t>
        </is>
      </c>
      <c r="D29" s="17" t="n">
        <v>10</v>
      </c>
    </row>
    <row r="30">
      <c r="A30" s="18" t="n">
        <v>46113</v>
      </c>
      <c r="B30" t="inlineStr">
        <is>
          <t>Andy Studer Therapy</t>
        </is>
      </c>
      <c r="C30" t="inlineStr">
        <is>
          <t>Seobility</t>
        </is>
      </c>
      <c r="D30" s="17" t="n">
        <v>5</v>
      </c>
    </row>
    <row r="31">
      <c r="A31" s="18" t="n">
        <v>46113</v>
      </c>
      <c r="B31" t="inlineStr">
        <is>
          <t>Gratitude and Growth Counseling LLC</t>
        </is>
      </c>
      <c r="C31" t="inlineStr">
        <is>
          <t>Seobility</t>
        </is>
      </c>
      <c r="D31" s="17" t="n">
        <v>5</v>
      </c>
    </row>
    <row r="32">
      <c r="A32" s="18" t="n">
        <v>46113</v>
      </c>
      <c r="B32" t="inlineStr">
        <is>
          <t>Andy Studer Therapy</t>
        </is>
      </c>
      <c r="C32" t="inlineStr">
        <is>
          <t>Ubersuggest</t>
        </is>
      </c>
      <c r="D32" s="17" t="n">
        <v>6</v>
      </c>
    </row>
    <row r="33">
      <c r="A33" s="18" t="n">
        <v>46113</v>
      </c>
      <c r="B33" t="inlineStr">
        <is>
          <t>Gratitude and Growth Counseling LLC</t>
        </is>
      </c>
      <c r="C33" t="inlineStr">
        <is>
          <t>Ubersuggest</t>
        </is>
      </c>
      <c r="D33" s="17" t="n">
        <v>6</v>
      </c>
    </row>
    <row r="34">
      <c r="A34" s="18" t="n">
        <v>46143</v>
      </c>
      <c r="B34" t="inlineStr">
        <is>
          <t>Andy Studer Therapy</t>
        </is>
      </c>
      <c r="C34" t="inlineStr">
        <is>
          <t>Billing Fee</t>
        </is>
      </c>
      <c r="D34" s="17" t="n">
        <v>3</v>
      </c>
    </row>
    <row r="35">
      <c r="A35" s="18" t="n">
        <v>46143</v>
      </c>
      <c r="B35" t="inlineStr">
        <is>
          <t>Gratitude and Growth Counseling LLC</t>
        </is>
      </c>
      <c r="C35" t="inlineStr">
        <is>
          <t>Billing Fee</t>
        </is>
      </c>
      <c r="D35" s="17" t="n">
        <v>3</v>
      </c>
    </row>
    <row r="36">
      <c r="A36" s="18" t="n">
        <v>46143</v>
      </c>
      <c r="B36" t="inlineStr">
        <is>
          <t>Andy Studer Therapy</t>
        </is>
      </c>
      <c r="C36" t="inlineStr">
        <is>
          <t>Hosting</t>
        </is>
      </c>
      <c r="D36" s="17" t="n">
        <v>10</v>
      </c>
    </row>
    <row r="37">
      <c r="A37" s="18" t="n">
        <v>46143</v>
      </c>
      <c r="B37" t="inlineStr">
        <is>
          <t>Gratitude and Growth Counseling LLC</t>
        </is>
      </c>
      <c r="C37" t="inlineStr">
        <is>
          <t>Hosting</t>
        </is>
      </c>
      <c r="D37" s="17" t="n">
        <v>10</v>
      </c>
    </row>
    <row r="38">
      <c r="A38" s="18" t="n">
        <v>46143</v>
      </c>
      <c r="B38" t="inlineStr">
        <is>
          <t>Andy Studer Therapy</t>
        </is>
      </c>
      <c r="C38" t="inlineStr">
        <is>
          <t>Seobility</t>
        </is>
      </c>
      <c r="D38" s="17" t="n">
        <v>5</v>
      </c>
    </row>
    <row r="39">
      <c r="A39" s="18" t="n">
        <v>46143</v>
      </c>
      <c r="B39" t="inlineStr">
        <is>
          <t>Gratitude and Growth Counseling LLC</t>
        </is>
      </c>
      <c r="C39" t="inlineStr">
        <is>
          <t>Seobility</t>
        </is>
      </c>
      <c r="D39" s="17" t="n">
        <v>5</v>
      </c>
    </row>
    <row r="40">
      <c r="A40" s="18" t="n">
        <v>46143</v>
      </c>
      <c r="B40" t="inlineStr">
        <is>
          <t>Andy Studer Therapy</t>
        </is>
      </c>
      <c r="C40" t="inlineStr">
        <is>
          <t>Ubersuggest</t>
        </is>
      </c>
      <c r="D40" s="17" t="n">
        <v>6</v>
      </c>
    </row>
    <row r="41">
      <c r="A41" s="18" t="n">
        <v>46143</v>
      </c>
      <c r="B41" t="inlineStr">
        <is>
          <t>Gratitude and Growth Counseling LLC</t>
        </is>
      </c>
      <c r="C41" t="inlineStr">
        <is>
          <t>Ubersuggest</t>
        </is>
      </c>
      <c r="D41" s="17" t="n">
        <v>6</v>
      </c>
    </row>
    <row r="42">
      <c r="A42" s="18" t="n">
        <v>46174</v>
      </c>
      <c r="B42" t="inlineStr">
        <is>
          <t>Andy Studer Therapy</t>
        </is>
      </c>
      <c r="C42" t="inlineStr">
        <is>
          <t>Billing Fee</t>
        </is>
      </c>
      <c r="D42" s="17" t="n">
        <v>3</v>
      </c>
    </row>
    <row r="43">
      <c r="A43" s="18" t="n">
        <v>46174</v>
      </c>
      <c r="B43" t="inlineStr">
        <is>
          <t>Gratitude and Growth Counseling LLC</t>
        </is>
      </c>
      <c r="C43" t="inlineStr">
        <is>
          <t>Billing Fee</t>
        </is>
      </c>
      <c r="D43" s="17" t="n">
        <v>3</v>
      </c>
    </row>
    <row r="44">
      <c r="A44" s="18" t="n">
        <v>46174</v>
      </c>
      <c r="B44" t="inlineStr">
        <is>
          <t>Andy Studer Therapy</t>
        </is>
      </c>
      <c r="C44" t="inlineStr">
        <is>
          <t>Hosting</t>
        </is>
      </c>
      <c r="D44" s="17" t="n">
        <v>10</v>
      </c>
    </row>
    <row r="45">
      <c r="A45" s="18" t="n">
        <v>46174</v>
      </c>
      <c r="B45" t="inlineStr">
        <is>
          <t>Gratitude and Growth Counseling LLC</t>
        </is>
      </c>
      <c r="C45" t="inlineStr">
        <is>
          <t>Hosting</t>
        </is>
      </c>
      <c r="D45" s="17" t="n">
        <v>10</v>
      </c>
    </row>
    <row r="46">
      <c r="A46" s="18" t="n">
        <v>46174</v>
      </c>
      <c r="B46" t="inlineStr">
        <is>
          <t>Andy Studer Therapy</t>
        </is>
      </c>
      <c r="C46" t="inlineStr">
        <is>
          <t>Seobility</t>
        </is>
      </c>
      <c r="D46" s="17" t="n">
        <v>5</v>
      </c>
    </row>
    <row r="47">
      <c r="A47" s="18" t="n">
        <v>46174</v>
      </c>
      <c r="B47" t="inlineStr">
        <is>
          <t>Gratitude and Growth Counseling LLC</t>
        </is>
      </c>
      <c r="C47" t="inlineStr">
        <is>
          <t>Seobility</t>
        </is>
      </c>
      <c r="D47" s="17" t="n">
        <v>5</v>
      </c>
    </row>
    <row r="48">
      <c r="A48" s="18" t="n">
        <v>46174</v>
      </c>
      <c r="B48" t="inlineStr">
        <is>
          <t>Andy Studer Therapy</t>
        </is>
      </c>
      <c r="C48" t="inlineStr">
        <is>
          <t>Ubersuggest</t>
        </is>
      </c>
      <c r="D48" s="17" t="n">
        <v>6</v>
      </c>
    </row>
    <row r="49">
      <c r="A49" s="18" t="n">
        <v>46174</v>
      </c>
      <c r="B49" t="inlineStr">
        <is>
          <t>Gratitude and Growth Counseling LLC</t>
        </is>
      </c>
      <c r="C49" t="inlineStr">
        <is>
          <t>Ubersuggest</t>
        </is>
      </c>
      <c r="D49" s="17" t="n">
        <v>6</v>
      </c>
    </row>
    <row r="50">
      <c r="A50" s="18" t="n">
        <v>46204</v>
      </c>
      <c r="B50" t="inlineStr">
        <is>
          <t>Andy Studer Therapy</t>
        </is>
      </c>
      <c r="C50" t="inlineStr">
        <is>
          <t>Billing Fee</t>
        </is>
      </c>
      <c r="D50" s="17" t="n">
        <v>3</v>
      </c>
    </row>
    <row r="51">
      <c r="A51" s="18" t="n">
        <v>46204</v>
      </c>
      <c r="B51" t="inlineStr">
        <is>
          <t>Gratitude and Growth Counseling LLC</t>
        </is>
      </c>
      <c r="C51" t="inlineStr">
        <is>
          <t>Billing Fee</t>
        </is>
      </c>
      <c r="D51" s="17" t="n">
        <v>3</v>
      </c>
    </row>
    <row r="52">
      <c r="A52" s="18" t="n">
        <v>46204</v>
      </c>
      <c r="B52" t="inlineStr">
        <is>
          <t>Andy Studer Therapy</t>
        </is>
      </c>
      <c r="C52" t="inlineStr">
        <is>
          <t>Hosting</t>
        </is>
      </c>
      <c r="D52" s="17" t="n">
        <v>10</v>
      </c>
    </row>
    <row r="53">
      <c r="A53" s="18" t="n">
        <v>46204</v>
      </c>
      <c r="B53" t="inlineStr">
        <is>
          <t>Gratitude and Growth Counseling LLC</t>
        </is>
      </c>
      <c r="C53" t="inlineStr">
        <is>
          <t>Hosting</t>
        </is>
      </c>
      <c r="D53" s="17" t="n">
        <v>10</v>
      </c>
    </row>
    <row r="54">
      <c r="A54" s="18" t="n">
        <v>46204</v>
      </c>
      <c r="B54" t="inlineStr">
        <is>
          <t>Andy Studer Therapy</t>
        </is>
      </c>
      <c r="C54" t="inlineStr">
        <is>
          <t>Seobility</t>
        </is>
      </c>
      <c r="D54" s="17" t="n">
        <v>5</v>
      </c>
    </row>
    <row r="55">
      <c r="A55" s="18" t="n">
        <v>46204</v>
      </c>
      <c r="B55" t="inlineStr">
        <is>
          <t>Gratitude and Growth Counseling LLC</t>
        </is>
      </c>
      <c r="C55" t="inlineStr">
        <is>
          <t>Seobility</t>
        </is>
      </c>
      <c r="D55" s="17" t="n">
        <v>5</v>
      </c>
    </row>
    <row r="56">
      <c r="A56" s="18" t="n">
        <v>46204</v>
      </c>
      <c r="B56" t="inlineStr">
        <is>
          <t>Andy Studer Therapy</t>
        </is>
      </c>
      <c r="C56" t="inlineStr">
        <is>
          <t>Ubersuggest</t>
        </is>
      </c>
      <c r="D56" s="17" t="n">
        <v>6</v>
      </c>
    </row>
    <row r="57">
      <c r="A57" s="18" t="n">
        <v>46204</v>
      </c>
      <c r="B57" t="inlineStr">
        <is>
          <t>Gratitude and Growth Counseling LLC</t>
        </is>
      </c>
      <c r="C57" t="inlineStr">
        <is>
          <t>Ubersuggest</t>
        </is>
      </c>
      <c r="D57" s="17" t="n">
        <v>6</v>
      </c>
    </row>
    <row r="58">
      <c r="A58" s="18" t="n">
        <v>46235</v>
      </c>
      <c r="B58" t="inlineStr">
        <is>
          <t>Andy Studer Therapy</t>
        </is>
      </c>
      <c r="C58" t="inlineStr">
        <is>
          <t>Billing Fee</t>
        </is>
      </c>
      <c r="D58" s="17" t="n">
        <v>3</v>
      </c>
    </row>
    <row r="59">
      <c r="A59" s="18" t="n">
        <v>46235</v>
      </c>
      <c r="B59" t="inlineStr">
        <is>
          <t>Gratitude and Growth Counseling LLC</t>
        </is>
      </c>
      <c r="C59" t="inlineStr">
        <is>
          <t>Billing Fee</t>
        </is>
      </c>
      <c r="D59" s="17" t="n">
        <v>3</v>
      </c>
    </row>
    <row r="60">
      <c r="A60" s="18" t="n">
        <v>46235</v>
      </c>
      <c r="B60" t="inlineStr">
        <is>
          <t>Andy Studer Therapy</t>
        </is>
      </c>
      <c r="C60" t="inlineStr">
        <is>
          <t>Hosting</t>
        </is>
      </c>
      <c r="D60" s="17" t="n">
        <v>10</v>
      </c>
    </row>
    <row r="61">
      <c r="A61" s="18" t="n">
        <v>46235</v>
      </c>
      <c r="B61" t="inlineStr">
        <is>
          <t>Gratitude and Growth Counseling LLC</t>
        </is>
      </c>
      <c r="C61" t="inlineStr">
        <is>
          <t>Hosting</t>
        </is>
      </c>
      <c r="D61" s="17" t="n">
        <v>10</v>
      </c>
    </row>
    <row r="62">
      <c r="A62" s="18" t="n">
        <v>46235</v>
      </c>
      <c r="B62" t="inlineStr">
        <is>
          <t>Andy Studer Therapy</t>
        </is>
      </c>
      <c r="C62" t="inlineStr">
        <is>
          <t>Seobility</t>
        </is>
      </c>
      <c r="D62" s="17" t="n">
        <v>5</v>
      </c>
    </row>
    <row r="63">
      <c r="A63" s="18" t="n">
        <v>46235</v>
      </c>
      <c r="B63" t="inlineStr">
        <is>
          <t>Gratitude and Growth Counseling LLC</t>
        </is>
      </c>
      <c r="C63" t="inlineStr">
        <is>
          <t>Seobility</t>
        </is>
      </c>
      <c r="D63" s="17" t="n">
        <v>5</v>
      </c>
    </row>
    <row r="64">
      <c r="A64" s="18" t="n">
        <v>46235</v>
      </c>
      <c r="B64" t="inlineStr">
        <is>
          <t>Andy Studer Therapy</t>
        </is>
      </c>
      <c r="C64" t="inlineStr">
        <is>
          <t>Ubersuggest</t>
        </is>
      </c>
      <c r="D64" s="17" t="n">
        <v>6</v>
      </c>
    </row>
    <row r="65">
      <c r="A65" s="18" t="n">
        <v>46235</v>
      </c>
      <c r="B65" t="inlineStr">
        <is>
          <t>Gratitude and Growth Counseling LLC</t>
        </is>
      </c>
      <c r="C65" t="inlineStr">
        <is>
          <t>Ubersuggest</t>
        </is>
      </c>
      <c r="D65" s="17" t="n">
        <v>6</v>
      </c>
    </row>
    <row r="66">
      <c r="A66" s="18" t="n">
        <v>46266</v>
      </c>
      <c r="B66" t="inlineStr">
        <is>
          <t>Andy Studer Therapy</t>
        </is>
      </c>
      <c r="C66" t="inlineStr">
        <is>
          <t>Billing Fee</t>
        </is>
      </c>
      <c r="D66" s="17" t="n">
        <v>3</v>
      </c>
    </row>
    <row r="67">
      <c r="A67" s="18" t="n">
        <v>46266</v>
      </c>
      <c r="B67" t="inlineStr">
        <is>
          <t>Gratitude and Growth Counseling LLC</t>
        </is>
      </c>
      <c r="C67" t="inlineStr">
        <is>
          <t>Billing Fee</t>
        </is>
      </c>
      <c r="D67" s="17" t="n">
        <v>3</v>
      </c>
    </row>
    <row r="68">
      <c r="A68" s="18" t="n">
        <v>46266</v>
      </c>
      <c r="B68" t="inlineStr">
        <is>
          <t>Guidance Through Grief Counseling Center, PLLC</t>
        </is>
      </c>
      <c r="C68" t="inlineStr">
        <is>
          <t>Billing Fee</t>
        </is>
      </c>
      <c r="D68" s="17" t="n">
        <v>3</v>
      </c>
    </row>
    <row r="69">
      <c r="A69" s="18" t="n">
        <v>46266</v>
      </c>
      <c r="B69" t="inlineStr">
        <is>
          <t>Andy Studer Therapy</t>
        </is>
      </c>
      <c r="C69" t="inlineStr">
        <is>
          <t>Hosting</t>
        </is>
      </c>
      <c r="D69" s="17" t="n">
        <v>10</v>
      </c>
    </row>
    <row r="70">
      <c r="A70" s="18" t="n">
        <v>46266</v>
      </c>
      <c r="B70" t="inlineStr">
        <is>
          <t>Gratitude and Growth Counseling LLC</t>
        </is>
      </c>
      <c r="C70" t="inlineStr">
        <is>
          <t>Hosting</t>
        </is>
      </c>
      <c r="D70" s="17" t="n">
        <v>10</v>
      </c>
    </row>
    <row r="71">
      <c r="A71" s="18" t="n">
        <v>46266</v>
      </c>
      <c r="B71" t="inlineStr">
        <is>
          <t>Guidance Through Grief Counseling Center, PLLC</t>
        </is>
      </c>
      <c r="C71" t="inlineStr">
        <is>
          <t>Hosting</t>
        </is>
      </c>
      <c r="D71" s="17" t="n">
        <v>10</v>
      </c>
    </row>
    <row r="72">
      <c r="A72" s="18" t="n">
        <v>46266</v>
      </c>
      <c r="B72" t="inlineStr">
        <is>
          <t>Andy Studer Therapy</t>
        </is>
      </c>
      <c r="C72" t="inlineStr">
        <is>
          <t>Seobility</t>
        </is>
      </c>
      <c r="D72" s="17" t="n">
        <v>5</v>
      </c>
    </row>
    <row r="73">
      <c r="A73" s="18" t="n">
        <v>46266</v>
      </c>
      <c r="B73" t="inlineStr">
        <is>
          <t>Gratitude and Growth Counseling LLC</t>
        </is>
      </c>
      <c r="C73" t="inlineStr">
        <is>
          <t>Seobility</t>
        </is>
      </c>
      <c r="D73" s="17" t="n">
        <v>5</v>
      </c>
    </row>
    <row r="74">
      <c r="A74" s="18" t="n">
        <v>46266</v>
      </c>
      <c r="B74" t="inlineStr">
        <is>
          <t>Andy Studer Therapy</t>
        </is>
      </c>
      <c r="C74" t="inlineStr">
        <is>
          <t>Ubersuggest</t>
        </is>
      </c>
      <c r="D74" s="17" t="n">
        <v>6</v>
      </c>
    </row>
    <row r="75">
      <c r="A75" s="18" t="n">
        <v>46266</v>
      </c>
      <c r="B75" t="inlineStr">
        <is>
          <t>Gratitude and Growth Counseling LLC</t>
        </is>
      </c>
      <c r="C75" t="inlineStr">
        <is>
          <t>Ubersuggest</t>
        </is>
      </c>
      <c r="D75" s="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2026-09-14T15:04:26Z</dcterms:created>
  <dcterms:modified xsi:type="dcterms:W3CDTF">2026-09-14T15:04:26Z</dcterms:modified>
</cp:coreProperties>
</file>