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or" state="visible" r:id="rId4"/>
    <sheet sheetId="2" name="Scenarios" state="visible" r:id="rId5"/>
    <sheet sheetId="3" name="Tiered Plans" state="visible" r:id="rId6"/>
  </sheets>
  <calcPr calcId="171027" fullCalcOnLoad="1"/>
</workbook>
</file>

<file path=xl/sharedStrings.xml><?xml version="1.0" encoding="utf-8"?>
<sst xmlns="http://schemas.openxmlformats.org/spreadsheetml/2006/main" count="107" uniqueCount="90">
  <si>
    <t>Start Performance — AI Receptionist  ·  Cost &amp; Margin Calculator</t>
  </si>
  <si>
    <t>Blue cells are yours to change. Everything else recalculates automatically.</t>
  </si>
  <si>
    <t>INPUTS — change these</t>
  </si>
  <si>
    <t>Number of customers</t>
  </si>
  <si>
    <t>Avg forwarded calls / customer / month</t>
  </si>
  <si>
    <t>missed/busy calls that reach the AI</t>
  </si>
  <si>
    <t>Monthly price / customer</t>
  </si>
  <si>
    <t>Fair-use call cap (reference only)</t>
  </si>
  <si>
    <t>suggest capping the $29 Starter plan here</t>
  </si>
  <si>
    <t>COST ASSUMPTIONS — edit to your real rates</t>
  </si>
  <si>
    <t>Avg voicemail length (minutes)</t>
  </si>
  <si>
    <t>Twilio voice + recording ($/min)</t>
  </si>
  <si>
    <t>Speech-to-text ($/min)</t>
  </si>
  <si>
    <t>Deepgram / hosted Whisper</t>
  </si>
  <si>
    <t>Claude AI ($/call)</t>
  </si>
  <si>
    <t>Haiku model, ~1 short call</t>
  </si>
  <si>
    <t>SMS ($/message)</t>
  </si>
  <si>
    <t>Messages per call</t>
  </si>
  <si>
    <t>1 to caller + 1 to the tradesperson</t>
  </si>
  <si>
    <t>Twilio phone number ($/mo per customer)</t>
  </si>
  <si>
    <t>A2P 10DLC registration ($/mo, total)</t>
  </si>
  <si>
    <t>one shared cost, not per customer</t>
  </si>
  <si>
    <t>Server / hosting ($/mo, total)</t>
  </si>
  <si>
    <t>your self-hosted box; set 0 if already owned</t>
  </si>
  <si>
    <t>Billing fee (% of price)</t>
  </si>
  <si>
    <t>SwipePay/Stripe rate — check yours</t>
  </si>
  <si>
    <t>Billing fee ($/transaction)</t>
  </si>
  <si>
    <t>set 0 during unpaid pilot</t>
  </si>
  <si>
    <t>PER-CALL COST</t>
  </si>
  <si>
    <t>Voice + recording / call</t>
  </si>
  <si>
    <t>Speech-to-text / call</t>
  </si>
  <si>
    <t>Claude / call</t>
  </si>
  <si>
    <t>SMS / call</t>
  </si>
  <si>
    <t>Variable cost per call</t>
  </si>
  <si>
    <t>PER-CUSTOMER (per month)</t>
  </si>
  <si>
    <t>Phone number</t>
  </si>
  <si>
    <t>Call usage (calls × per-call)</t>
  </si>
  <si>
    <t>Share of fixed costs</t>
  </si>
  <si>
    <t>Billing fee</t>
  </si>
  <si>
    <t>Total cost per customer</t>
  </si>
  <si>
    <t>Revenue per customer</t>
  </si>
  <si>
    <t>Gross profit per customer</t>
  </si>
  <si>
    <t>Gross margin</t>
  </si>
  <si>
    <t>BUSINESS TOTALS (per month)</t>
  </si>
  <si>
    <t>Total revenue</t>
  </si>
  <si>
    <t>Total cost</t>
  </si>
  <si>
    <t>Total gross profit</t>
  </si>
  <si>
    <t>Overall gross margin</t>
  </si>
  <si>
    <t>Annual gross profit</t>
  </si>
  <si>
    <t>Scenarios — per-customer economics &amp; scaling</t>
  </si>
  <si>
    <t>1)  Profit per customer by monthly call volume</t>
  </si>
  <si>
    <t>Scenario</t>
  </si>
  <si>
    <t>Calls / mo</t>
  </si>
  <si>
    <t>Usage</t>
  </si>
  <si>
    <t>Number</t>
  </si>
  <si>
    <t>Fixed share</t>
  </si>
  <si>
    <t>Billing</t>
  </si>
  <si>
    <t>Profit</t>
  </si>
  <si>
    <t>Light (part-time)</t>
  </si>
  <si>
    <t>Typical</t>
  </si>
  <si>
    <t>Busy shop</t>
  </si>
  <si>
    <t>Heavy</t>
  </si>
  <si>
    <t>Profit dips as call volume rises — the fair-use cap keeps heavy users on the right plan.</t>
  </si>
  <si>
    <t>2)  Monthly profit by customer count (at your typical call volume)</t>
  </si>
  <si>
    <t>Customers</t>
  </si>
  <si>
    <t>Revenue</t>
  </si>
  <si>
    <t>Variable cost</t>
  </si>
  <si>
    <t>Fixed cost</t>
  </si>
  <si>
    <t>Gross profit</t>
  </si>
  <si>
    <t>Margin</t>
  </si>
  <si>
    <t>Margin improves as you scale — fixed costs (server + A2P) spread across more customers.</t>
  </si>
  <si>
    <t>Tiered Plans — blended margin across a customer mix</t>
  </si>
  <si>
    <t>Blue cells are yours. Cost rates are pulled live from the Calculator sheet.</t>
  </si>
  <si>
    <t>PLAN SETUP — change these</t>
  </si>
  <si>
    <t>Base plan</t>
  </si>
  <si>
    <t>Pro plan</t>
  </si>
  <si>
    <t>Blended / Total</t>
  </si>
  <si>
    <t>Monthly price</t>
  </si>
  <si>
    <t>Typical calls / month</t>
  </si>
  <si>
    <t>Included call cap</t>
  </si>
  <si>
    <t>soft cap for fair use</t>
  </si>
  <si>
    <t>Customers on this tier</t>
  </si>
  <si>
    <t>PER-CUSTOMER ECONOMICS</t>
  </si>
  <si>
    <t>Call usage</t>
  </si>
  <si>
    <t>Total cost / customer</t>
  </si>
  <si>
    <t>Profit / customer</t>
  </si>
  <si>
    <t>TOTALS (per month)</t>
  </si>
  <si>
    <t>Cost</t>
  </si>
  <si>
    <t>Blended profit / customer</t>
  </si>
  <si>
    <t>The Pro tier carries a higher margin AND more absolute profit — a few high-volume shops lift the whole blend.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</si>
</sst>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&quot;$&quot;#,##0.0000"/>
    <numFmt numFmtId="166" formatCode="0.0%"/>
    <numFmt numFmtId="167" formatCode="&quot;$&quot;#,##0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666666"/>
      <sz val="9"/>
      <name val="Arial"/>
    </font>
    <font>
      <b/>
      <color rgb="FFFFFFFF"/>
      <sz val="11"/>
      <name val="Arial"/>
    </font>
    <font>
      <color rgb="FF1A1A1A"/>
      <sz val="10"/>
      <name val="Arial"/>
    </font>
    <font>
      <color rgb="FF0000FF"/>
      <sz val="10"/>
      <name val="Arial"/>
    </font>
    <font>
      <i/>
      <color rgb="FF888888"/>
      <sz val="9"/>
      <name val="Arial"/>
    </font>
    <font>
      <b/>
      <color rgb="FF1A1A1A"/>
      <sz val="10"/>
      <name val="Arial"/>
    </font>
    <font>
      <color rgb="FF108040"/>
      <sz val="10"/>
      <name val="Arial"/>
    </font>
    <font>
      <b/>
      <color rgb="FF10804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7181C"/>
      </patternFill>
    </fill>
    <fill>
      <patternFill patternType="solid">
        <fgColor rgb="FFED1C24"/>
      </patternFill>
    </fill>
    <fill>
      <patternFill patternType="solid">
        <fgColor rgb="FFFFF3B0"/>
      </patternFill>
    </fill>
    <fill>
      <patternFill patternType="solid">
        <fgColor rgb="FFF2F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5" fillId="4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5" fillId="4" borderId="0" xfId="0" applyNumberFormat="1" applyFont="1" applyFill="1" applyAlignment="1">
      <alignment horizontal="left" vertical="center"/>
    </xf>
    <xf numFmtId="2" fontId="5" fillId="4" borderId="0" xfId="0" applyNumberFormat="1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left" vertical="center"/>
    </xf>
    <xf numFmtId="166" fontId="5" fillId="4" borderId="0" xfId="0" applyNumberFormat="1" applyFont="1" applyFill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6" fontId="7" fillId="0" borderId="0" xfId="0" applyNumberFormat="1" applyFont="1" applyAlignment="1">
      <alignment horizontal="left" vertical="center"/>
    </xf>
    <xf numFmtId="167" fontId="7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7" fillId="5" borderId="0" xfId="0" applyNumberFormat="1" applyFont="1" applyFill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" fontId="8" fillId="0" borderId="0" xfId="0" applyNumberFormat="1" applyFont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7" fontId="9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4" customWidth="1"/>
    <col min="3" max="3" width="40" customWidth="1"/>
  </cols>
  <sheetData>
    <row r="1" ht="30" customHeight="1" spans="1:3" x14ac:dyDescent="0.25">
      <c r="A1" s="1" t="s">
        <v>0</v>
      </c>
      <c r="B1" s="1"/>
      <c r="C1" s="1"/>
    </row>
    <row r="2" ht="16" customHeight="1" spans="1:3" x14ac:dyDescent="0.25">
      <c r="A2" s="2" t="s">
        <v>1</v>
      </c>
      <c r="B2" s="2"/>
      <c r="C2" s="2"/>
    </row>
    <row r="4" ht="20" customHeight="1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25</v>
      </c>
    </row>
    <row r="6" spans="1:3" x14ac:dyDescent="0.25">
      <c r="A6" s="4" t="s">
        <v>4</v>
      </c>
      <c r="B6" s="5">
        <v>80</v>
      </c>
      <c r="C6" s="6" t="s">
        <v>5</v>
      </c>
    </row>
    <row r="7" spans="1:2" x14ac:dyDescent="0.25">
      <c r="A7" s="4" t="s">
        <v>6</v>
      </c>
      <c r="B7" s="7">
        <v>29</v>
      </c>
    </row>
    <row r="8" spans="1:3" x14ac:dyDescent="0.25">
      <c r="A8" s="4" t="s">
        <v>7</v>
      </c>
      <c r="B8" s="5">
        <v>100</v>
      </c>
      <c r="C8" s="6" t="s">
        <v>8</v>
      </c>
    </row>
    <row r="10" ht="20" customHeight="1" spans="1:3" x14ac:dyDescent="0.25">
      <c r="A10" s="3" t="s">
        <v>9</v>
      </c>
      <c r="B10" s="3"/>
      <c r="C10" s="3"/>
    </row>
    <row r="11" spans="1:2" x14ac:dyDescent="0.25">
      <c r="A11" s="4" t="s">
        <v>10</v>
      </c>
      <c r="B11" s="8">
        <v>0.75</v>
      </c>
    </row>
    <row r="12" spans="1:2" x14ac:dyDescent="0.25">
      <c r="A12" s="4" t="s">
        <v>11</v>
      </c>
      <c r="B12" s="9">
        <v>0.013</v>
      </c>
    </row>
    <row r="13" spans="1:3" x14ac:dyDescent="0.25">
      <c r="A13" s="4" t="s">
        <v>12</v>
      </c>
      <c r="B13" s="9">
        <v>0.006</v>
      </c>
      <c r="C13" s="6" t="s">
        <v>13</v>
      </c>
    </row>
    <row r="14" spans="1:3" x14ac:dyDescent="0.25">
      <c r="A14" s="4" t="s">
        <v>14</v>
      </c>
      <c r="B14" s="9">
        <v>0.002</v>
      </c>
      <c r="C14" s="6" t="s">
        <v>15</v>
      </c>
    </row>
    <row r="15" spans="1:2" x14ac:dyDescent="0.25">
      <c r="A15" s="4" t="s">
        <v>16</v>
      </c>
      <c r="B15" s="9">
        <v>0.01</v>
      </c>
    </row>
    <row r="16" spans="1:3" x14ac:dyDescent="0.25">
      <c r="A16" s="4" t="s">
        <v>17</v>
      </c>
      <c r="B16" s="5">
        <v>2</v>
      </c>
      <c r="C16" s="6" t="s">
        <v>18</v>
      </c>
    </row>
    <row r="17" spans="1:2" x14ac:dyDescent="0.25">
      <c r="A17" s="4" t="s">
        <v>19</v>
      </c>
      <c r="B17" s="7">
        <v>1.15</v>
      </c>
    </row>
    <row r="18" spans="1:3" x14ac:dyDescent="0.25">
      <c r="A18" s="4" t="s">
        <v>20</v>
      </c>
      <c r="B18" s="7">
        <v>10</v>
      </c>
      <c r="C18" s="6" t="s">
        <v>21</v>
      </c>
    </row>
    <row r="19" spans="1:3" x14ac:dyDescent="0.25">
      <c r="A19" s="4" t="s">
        <v>22</v>
      </c>
      <c r="B19" s="7">
        <v>12</v>
      </c>
      <c r="C19" s="6" t="s">
        <v>23</v>
      </c>
    </row>
    <row r="20" spans="1:3" x14ac:dyDescent="0.25">
      <c r="A20" s="4" t="s">
        <v>24</v>
      </c>
      <c r="B20" s="10">
        <v>0.029</v>
      </c>
      <c r="C20" s="6" t="s">
        <v>25</v>
      </c>
    </row>
    <row r="21" spans="1:3" x14ac:dyDescent="0.25">
      <c r="A21" s="4" t="s">
        <v>26</v>
      </c>
      <c r="B21" s="7">
        <v>0.3</v>
      </c>
      <c r="C21" s="6" t="s">
        <v>27</v>
      </c>
    </row>
    <row r="23" ht="20" customHeight="1" spans="1:3" x14ac:dyDescent="0.25">
      <c r="A23" s="3" t="s">
        <v>28</v>
      </c>
      <c r="B23" s="3"/>
      <c r="C23" s="3"/>
    </row>
    <row r="24" spans="1:2" x14ac:dyDescent="0.25">
      <c r="A24" s="4" t="s">
        <v>29</v>
      </c>
      <c r="B24" s="11">
        <f>B11*B12</f>
        <v>0.00975</v>
      </c>
    </row>
    <row r="25" spans="1:2" x14ac:dyDescent="0.25">
      <c r="A25" s="4" t="s">
        <v>30</v>
      </c>
      <c r="B25" s="11">
        <f>B11*B13</f>
        <v>0.0045000000000000005</v>
      </c>
    </row>
    <row r="26" spans="1:2" x14ac:dyDescent="0.25">
      <c r="A26" s="4" t="s">
        <v>31</v>
      </c>
      <c r="B26" s="11">
        <f>B14</f>
        <v>0.002</v>
      </c>
    </row>
    <row r="27" spans="1:2" x14ac:dyDescent="0.25">
      <c r="A27" s="4" t="s">
        <v>32</v>
      </c>
      <c r="B27" s="11">
        <f>B15*B16</f>
        <v>0.02</v>
      </c>
    </row>
    <row r="28" spans="1:2" x14ac:dyDescent="0.25">
      <c r="A28" s="12" t="s">
        <v>33</v>
      </c>
      <c r="B28" s="13">
        <f>SUM(B24:B27)</f>
        <v>0.036250000000000004</v>
      </c>
    </row>
    <row r="30" ht="20" customHeight="1" spans="1:3" x14ac:dyDescent="0.25">
      <c r="A30" s="3" t="s">
        <v>34</v>
      </c>
      <c r="B30" s="3"/>
      <c r="C30" s="3"/>
    </row>
    <row r="31" spans="1:2" x14ac:dyDescent="0.25">
      <c r="A31" s="4" t="s">
        <v>35</v>
      </c>
      <c r="B31" s="14">
        <f>B17</f>
        <v>1.15</v>
      </c>
    </row>
    <row r="32" spans="1:2" x14ac:dyDescent="0.25">
      <c r="A32" s="4" t="s">
        <v>36</v>
      </c>
      <c r="B32" s="14">
        <f>B6*B28</f>
        <v>2.9000000000000004</v>
      </c>
    </row>
    <row r="33" spans="1:2" x14ac:dyDescent="0.25">
      <c r="A33" s="4" t="s">
        <v>37</v>
      </c>
      <c r="B33" s="14">
        <f>IFERROR((B18+B19)/B5,0)</f>
        <v>0.88</v>
      </c>
    </row>
    <row r="34" spans="1:2" x14ac:dyDescent="0.25">
      <c r="A34" s="4" t="s">
        <v>38</v>
      </c>
      <c r="B34" s="14">
        <f>B7*B20+B21</f>
        <v>1.141</v>
      </c>
    </row>
    <row r="35" spans="1:2" x14ac:dyDescent="0.25">
      <c r="A35" s="12" t="s">
        <v>39</v>
      </c>
      <c r="B35" s="15">
        <f>SUM(B31:B34)</f>
        <v>6.071000000000001</v>
      </c>
    </row>
    <row r="36" spans="1:2" x14ac:dyDescent="0.25">
      <c r="A36" s="4" t="s">
        <v>40</v>
      </c>
      <c r="B36" s="14">
        <f>B7</f>
        <v>29</v>
      </c>
    </row>
    <row r="37" spans="1:2" x14ac:dyDescent="0.25">
      <c r="A37" s="12" t="s">
        <v>41</v>
      </c>
      <c r="B37" s="16">
        <f>B36-B35</f>
        <v>22.929</v>
      </c>
    </row>
    <row r="38" spans="1:2" x14ac:dyDescent="0.25">
      <c r="A38" s="12" t="s">
        <v>42</v>
      </c>
      <c r="B38" s="17">
        <f>IFERROR(B37/B36,0)</f>
        <v>0.790655172413793</v>
      </c>
    </row>
    <row r="40" ht="20" customHeight="1" spans="1:3" x14ac:dyDescent="0.25">
      <c r="A40" s="3" t="s">
        <v>43</v>
      </c>
      <c r="B40" s="3"/>
      <c r="C40" s="3"/>
    </row>
    <row r="41" spans="1:2" x14ac:dyDescent="0.25">
      <c r="A41" s="4" t="s">
        <v>44</v>
      </c>
      <c r="B41" s="14">
        <f>B5*B7</f>
        <v>725</v>
      </c>
    </row>
    <row r="42" spans="1:2" x14ac:dyDescent="0.25">
      <c r="A42" s="4" t="s">
        <v>45</v>
      </c>
      <c r="B42" s="14">
        <f>B5*B35</f>
        <v>151.775</v>
      </c>
    </row>
    <row r="43" spans="1:2" x14ac:dyDescent="0.25">
      <c r="A43" s="12" t="s">
        <v>46</v>
      </c>
      <c r="B43" s="16">
        <f>B41-B42</f>
        <v>573.225</v>
      </c>
    </row>
    <row r="44" spans="1:2" x14ac:dyDescent="0.25">
      <c r="A44" s="12" t="s">
        <v>47</v>
      </c>
      <c r="B44" s="17">
        <f>IFERROR(B43/B41,0)</f>
        <v>0.7906551724137931</v>
      </c>
    </row>
    <row r="45" spans="1:2" x14ac:dyDescent="0.25">
      <c r="A45" s="12" t="s">
        <v>48</v>
      </c>
      <c r="B45" s="18">
        <f>B43*12</f>
        <v>6878.700000000001</v>
      </c>
    </row>
  </sheetData>
  <mergeCells count="7">
    <mergeCell ref="A1:C1"/>
    <mergeCell ref="A2:C2"/>
    <mergeCell ref="A4:C4"/>
    <mergeCell ref="A10:C10"/>
    <mergeCell ref="A23:C23"/>
    <mergeCell ref="A30:C30"/>
    <mergeCell ref="A40:C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3" customWidth="1"/>
    <col min="7" max="7" width="14" customWidth="1"/>
    <col min="8" max="8" width="11" customWidth="1"/>
  </cols>
  <sheetData>
    <row r="1" ht="28" customHeight="1" spans="1:8" x14ac:dyDescent="0.25">
      <c r="A1" s="1" t="s">
        <v>49</v>
      </c>
      <c r="B1" s="1"/>
      <c r="C1" s="1"/>
      <c r="D1" s="1"/>
      <c r="E1" s="1"/>
      <c r="F1" s="1"/>
      <c r="G1" s="1"/>
      <c r="H1" s="1"/>
    </row>
    <row r="3" ht="18" customHeight="1" spans="1:8" x14ac:dyDescent="0.25">
      <c r="A3" s="3" t="s">
        <v>50</v>
      </c>
      <c r="B3" s="3"/>
      <c r="C3" s="3"/>
      <c r="D3" s="3"/>
      <c r="E3" s="3"/>
      <c r="F3" s="3"/>
      <c r="G3" s="3"/>
      <c r="H3" s="3"/>
    </row>
    <row r="4" spans="1:8" x14ac:dyDescent="0.25">
      <c r="A4" s="19" t="s">
        <v>51</v>
      </c>
      <c r="B4" s="20" t="s">
        <v>52</v>
      </c>
      <c r="C4" s="20" t="s">
        <v>53</v>
      </c>
      <c r="D4" s="20" t="s">
        <v>54</v>
      </c>
      <c r="E4" s="20" t="s">
        <v>55</v>
      </c>
      <c r="F4" s="20" t="s">
        <v>56</v>
      </c>
      <c r="G4" s="20" t="s">
        <v>45</v>
      </c>
      <c r="H4" s="20" t="s">
        <v>57</v>
      </c>
    </row>
    <row r="5" spans="1:8" x14ac:dyDescent="0.25">
      <c r="A5" s="4" t="s">
        <v>58</v>
      </c>
      <c r="B5" s="21">
        <v>40</v>
      </c>
      <c r="C5" s="22">
        <f>B5*Calculator!$B$28</f>
        <v>1.4500000000000002</v>
      </c>
      <c r="D5" s="22">
        <f>Calculator!$B$17</f>
        <v>1.15</v>
      </c>
      <c r="E5" s="22">
        <f>Calculator!$B$33</f>
        <v>0.88</v>
      </c>
      <c r="F5" s="22">
        <f>Calculator!$B$34</f>
        <v>1.141</v>
      </c>
      <c r="G5" s="22">
        <f>C5+D5+E5+F5</f>
        <v>4.621</v>
      </c>
      <c r="H5" s="23">
        <f>Calculator!$B$7-G5</f>
        <v>24.378999999999998</v>
      </c>
    </row>
    <row r="6" spans="1:8" x14ac:dyDescent="0.25">
      <c r="A6" s="4" t="s">
        <v>59</v>
      </c>
      <c r="B6" s="21">
        <v>80</v>
      </c>
      <c r="C6" s="22">
        <f>B6*Calculator!$B$28</f>
        <v>2.9000000000000004</v>
      </c>
      <c r="D6" s="22">
        <f>Calculator!$B$17</f>
        <v>1.15</v>
      </c>
      <c r="E6" s="22">
        <f>Calculator!$B$33</f>
        <v>0.88</v>
      </c>
      <c r="F6" s="22">
        <f>Calculator!$B$34</f>
        <v>1.141</v>
      </c>
      <c r="G6" s="22">
        <f>C6+D6+E6+F6</f>
        <v>6.071000000000001</v>
      </c>
      <c r="H6" s="23">
        <f>Calculator!$B$7-G6</f>
        <v>22.929</v>
      </c>
    </row>
    <row r="7" spans="1:8" x14ac:dyDescent="0.25">
      <c r="A7" s="4" t="s">
        <v>60</v>
      </c>
      <c r="B7" s="21">
        <v>120</v>
      </c>
      <c r="C7" s="22">
        <f>B7*Calculator!$B$28</f>
        <v>4.3500000000000005</v>
      </c>
      <c r="D7" s="22">
        <f>Calculator!$B$17</f>
        <v>1.15</v>
      </c>
      <c r="E7" s="22">
        <f>Calculator!$B$33</f>
        <v>0.88</v>
      </c>
      <c r="F7" s="22">
        <f>Calculator!$B$34</f>
        <v>1.141</v>
      </c>
      <c r="G7" s="22">
        <f>C7+D7+E7+F7</f>
        <v>7.521</v>
      </c>
      <c r="H7" s="23">
        <f>Calculator!$B$7-G7</f>
        <v>21.479</v>
      </c>
    </row>
    <row r="8" spans="1:8" x14ac:dyDescent="0.25">
      <c r="A8" s="4" t="s">
        <v>61</v>
      </c>
      <c r="B8" s="21">
        <v>200</v>
      </c>
      <c r="C8" s="22">
        <f>B8*Calculator!$B$28</f>
        <v>7.250000000000001</v>
      </c>
      <c r="D8" s="22">
        <f>Calculator!$B$17</f>
        <v>1.15</v>
      </c>
      <c r="E8" s="22">
        <f>Calculator!$B$33</f>
        <v>0.88</v>
      </c>
      <c r="F8" s="22">
        <f>Calculator!$B$34</f>
        <v>1.141</v>
      </c>
      <c r="G8" s="22">
        <f>C8+D8+E8+F8</f>
        <v>10.421000000000001</v>
      </c>
      <c r="H8" s="23">
        <f>Calculator!$B$7-G8</f>
        <v>18.579</v>
      </c>
    </row>
    <row r="10" spans="1:8" x14ac:dyDescent="0.25">
      <c r="A10" s="6" t="s">
        <v>62</v>
      </c>
      <c r="B10" s="6"/>
      <c r="C10" s="6"/>
      <c r="D10" s="6"/>
      <c r="E10" s="6"/>
      <c r="F10" s="6"/>
      <c r="G10" s="6"/>
      <c r="H10" s="6"/>
    </row>
    <row r="12" ht="18" customHeight="1" spans="1:8" x14ac:dyDescent="0.25">
      <c r="A12" s="3" t="s">
        <v>63</v>
      </c>
      <c r="B12" s="3"/>
      <c r="C12" s="3"/>
      <c r="D12" s="3"/>
      <c r="E12" s="3"/>
      <c r="F12" s="3"/>
      <c r="G12" s="3"/>
      <c r="H12" s="3"/>
    </row>
    <row r="13" spans="1:7" x14ac:dyDescent="0.25">
      <c r="A13" s="19" t="s">
        <v>64</v>
      </c>
      <c r="B13" s="20" t="s">
        <v>65</v>
      </c>
      <c r="C13" s="20" t="s">
        <v>66</v>
      </c>
      <c r="D13" s="20" t="s">
        <v>67</v>
      </c>
      <c r="E13" s="20" t="s">
        <v>45</v>
      </c>
      <c r="F13" s="20" t="s">
        <v>68</v>
      </c>
      <c r="G13" s="20" t="s">
        <v>69</v>
      </c>
    </row>
    <row r="14" spans="1:7" x14ac:dyDescent="0.25">
      <c r="A14" s="5">
        <v>10</v>
      </c>
      <c r="B14" s="22">
        <f>A14*Calculator!$B$7</f>
        <v>290</v>
      </c>
      <c r="C14" s="22">
        <f>A14*(Calculator!$B$17+Calculator!$B$6*Calculator!$B$28+Calculator!$B$7*Calculator!$B$20+Calculator!$B$21)</f>
        <v>51.91000000000001</v>
      </c>
      <c r="D14" s="22">
        <f>Calculator!$B$18+Calculator!$B$19</f>
        <v>22</v>
      </c>
      <c r="E14" s="22">
        <f>C14+D14</f>
        <v>73.91000000000001</v>
      </c>
      <c r="F14" s="23">
        <f>B14-E14</f>
        <v>216.08999999999997</v>
      </c>
      <c r="G14" s="24">
        <f>IFERROR(F14/B14,0)</f>
        <v>0.7451379310344827</v>
      </c>
    </row>
    <row r="15" spans="1:7" x14ac:dyDescent="0.25">
      <c r="A15" s="5">
        <v>25</v>
      </c>
      <c r="B15" s="22">
        <f>A15*Calculator!$B$7</f>
        <v>725</v>
      </c>
      <c r="C15" s="22">
        <f>A15*(Calculator!$B$17+Calculator!$B$6*Calculator!$B$28+Calculator!$B$7*Calculator!$B$20+Calculator!$B$21)</f>
        <v>129.775</v>
      </c>
      <c r="D15" s="22">
        <f>Calculator!$B$18+Calculator!$B$19</f>
        <v>22</v>
      </c>
      <c r="E15" s="22">
        <f>C15+D15</f>
        <v>151.775</v>
      </c>
      <c r="F15" s="23">
        <f>B15-E15</f>
        <v>573.225</v>
      </c>
      <c r="G15" s="24">
        <f>IFERROR(F15/B15,0)</f>
        <v>0.7906551724137931</v>
      </c>
    </row>
    <row r="16" spans="1:7" x14ac:dyDescent="0.25">
      <c r="A16" s="5">
        <v>50</v>
      </c>
      <c r="B16" s="22">
        <f>A16*Calculator!$B$7</f>
        <v>1450</v>
      </c>
      <c r="C16" s="22">
        <f>A16*(Calculator!$B$17+Calculator!$B$6*Calculator!$B$28+Calculator!$B$7*Calculator!$B$20+Calculator!$B$21)</f>
        <v>259.55</v>
      </c>
      <c r="D16" s="22">
        <f>Calculator!$B$18+Calculator!$B$19</f>
        <v>22</v>
      </c>
      <c r="E16" s="22">
        <f>C16+D16</f>
        <v>281.55</v>
      </c>
      <c r="F16" s="23">
        <f>B16-E16</f>
        <v>1168.45</v>
      </c>
      <c r="G16" s="24">
        <f>IFERROR(F16/B16,0)</f>
        <v>0.8058275862068965</v>
      </c>
    </row>
    <row r="17" spans="1:7" x14ac:dyDescent="0.25">
      <c r="A17" s="5">
        <v>100</v>
      </c>
      <c r="B17" s="22">
        <f>A17*Calculator!$B$7</f>
        <v>2900</v>
      </c>
      <c r="C17" s="22">
        <f>A17*(Calculator!$B$17+Calculator!$B$6*Calculator!$B$28+Calculator!$B$7*Calculator!$B$20+Calculator!$B$21)</f>
        <v>519.1</v>
      </c>
      <c r="D17" s="22">
        <f>Calculator!$B$18+Calculator!$B$19</f>
        <v>22</v>
      </c>
      <c r="E17" s="22">
        <f>C17+D17</f>
        <v>541.1</v>
      </c>
      <c r="F17" s="23">
        <f>B17-E17</f>
        <v>2358.9</v>
      </c>
      <c r="G17" s="24">
        <f>IFERROR(F17/B17,0)</f>
        <v>0.8134137931034483</v>
      </c>
    </row>
    <row r="18" spans="1:7" x14ac:dyDescent="0.25">
      <c r="A18" s="5">
        <v>200</v>
      </c>
      <c r="B18" s="22">
        <f>A18*Calculator!$B$7</f>
        <v>5800</v>
      </c>
      <c r="C18" s="22">
        <f>A18*(Calculator!$B$17+Calculator!$B$6*Calculator!$B$28+Calculator!$B$7*Calculator!$B$20+Calculator!$B$21)</f>
        <v>1038.2</v>
      </c>
      <c r="D18" s="22">
        <f>Calculator!$B$18+Calculator!$B$19</f>
        <v>22</v>
      </c>
      <c r="E18" s="22">
        <f>C18+D18</f>
        <v>1060.2</v>
      </c>
      <c r="F18" s="23">
        <f>B18-E18</f>
        <v>4739.8</v>
      </c>
      <c r="G18" s="24">
        <f>IFERROR(F18/B18,0)</f>
        <v>0.8172068965517242</v>
      </c>
    </row>
    <row r="20" spans="1:8" x14ac:dyDescent="0.25">
      <c r="A20" s="6" t="s">
        <v>70</v>
      </c>
      <c r="B20" s="6"/>
      <c r="C20" s="6"/>
      <c r="D20" s="6"/>
      <c r="E20" s="6"/>
      <c r="F20" s="6"/>
      <c r="G20" s="6"/>
      <c r="H20" s="6"/>
    </row>
  </sheetData>
  <mergeCells count="5">
    <mergeCell ref="A1:H1"/>
    <mergeCell ref="A3:H3"/>
    <mergeCell ref="A10:H10"/>
    <mergeCell ref="A12:H12"/>
    <mergeCell ref="A20: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 showGridLines="0"/>
  </sheetViews>
  <sheetFormatPr defaultRowHeight="15" outlineLevelRow="0" outlineLevelCol="0" x14ac:dyDescent="55"/>
  <cols>
    <col min="1" max="1" width="34" customWidth="1"/>
    <col min="2" max="3" width="14" customWidth="1"/>
    <col min="4" max="4" width="16" customWidth="1"/>
  </cols>
  <sheetData>
    <row r="1" ht="28" customHeight="1" spans="1:4" x14ac:dyDescent="0.25">
      <c r="A1" s="1" t="s">
        <v>71</v>
      </c>
      <c r="B1" s="1"/>
      <c r="C1" s="1"/>
      <c r="D1" s="1"/>
    </row>
    <row r="2" spans="1:4" x14ac:dyDescent="0.25">
      <c r="A2" s="2" t="s">
        <v>72</v>
      </c>
      <c r="B2" s="2"/>
      <c r="C2" s="2"/>
      <c r="D2" s="2"/>
    </row>
    <row r="4" ht="18" customHeight="1" spans="1:4" x14ac:dyDescent="0.25">
      <c r="A4" s="3" t="s">
        <v>73</v>
      </c>
      <c r="B4" s="3"/>
      <c r="C4" s="3"/>
      <c r="D4" s="3"/>
    </row>
    <row r="5" spans="2:4" x14ac:dyDescent="0.25">
      <c r="B5" s="20" t="s">
        <v>74</v>
      </c>
      <c r="C5" s="20" t="s">
        <v>75</v>
      </c>
      <c r="D5" s="20" t="s">
        <v>76</v>
      </c>
    </row>
    <row r="6" spans="1:3" x14ac:dyDescent="0.25">
      <c r="A6" s="4" t="s">
        <v>77</v>
      </c>
      <c r="B6" s="25">
        <v>29</v>
      </c>
      <c r="C6" s="25">
        <v>79</v>
      </c>
    </row>
    <row r="7" spans="1:3" x14ac:dyDescent="0.25">
      <c r="A7" s="4" t="s">
        <v>78</v>
      </c>
      <c r="B7" s="21">
        <v>80</v>
      </c>
      <c r="C7" s="21">
        <v>250</v>
      </c>
    </row>
    <row r="8" spans="1:4" x14ac:dyDescent="0.25">
      <c r="A8" s="4" t="s">
        <v>79</v>
      </c>
      <c r="B8" s="21">
        <v>100</v>
      </c>
      <c r="C8" s="21">
        <v>400</v>
      </c>
      <c r="D8" s="6" t="s">
        <v>80</v>
      </c>
    </row>
    <row r="9" spans="1:3" x14ac:dyDescent="0.25">
      <c r="A9" s="4" t="s">
        <v>81</v>
      </c>
      <c r="B9" s="21">
        <v>40</v>
      </c>
      <c r="C9" s="21">
        <v>10</v>
      </c>
    </row>
    <row r="11" ht="18" customHeight="1" spans="1:4" x14ac:dyDescent="0.25">
      <c r="A11" s="3" t="s">
        <v>82</v>
      </c>
      <c r="B11" s="3"/>
      <c r="C11" s="3"/>
      <c r="D11" s="3"/>
    </row>
    <row r="12" spans="2:4" x14ac:dyDescent="0.25">
      <c r="B12" s="20" t="s">
        <v>74</v>
      </c>
      <c r="C12" s="20" t="s">
        <v>75</v>
      </c>
      <c r="D12" s="20" t="s">
        <v>76</v>
      </c>
    </row>
    <row r="13" spans="1:3" x14ac:dyDescent="0.25">
      <c r="A13" s="4" t="s">
        <v>35</v>
      </c>
      <c r="B13" s="26">
        <f>Calculator!$B$17</f>
        <v>1.15</v>
      </c>
      <c r="C13" s="26">
        <f>Calculator!$B$17</f>
        <v>1.15</v>
      </c>
    </row>
    <row r="14" spans="1:3" x14ac:dyDescent="0.25">
      <c r="A14" s="4" t="s">
        <v>83</v>
      </c>
      <c r="B14" s="26">
        <f>B7*Calculator!$B$28</f>
        <v>2.9000000000000004</v>
      </c>
      <c r="C14" s="26">
        <f>C7*Calculator!$B$28</f>
        <v>9.062500000000002</v>
      </c>
    </row>
    <row r="15" spans="1:3" x14ac:dyDescent="0.25">
      <c r="A15" s="4" t="s">
        <v>37</v>
      </c>
      <c r="B15" s="26">
        <f>IFERROR((Calculator!$B$18+Calculator!$B$19)/($B$9+$C$9),0)</f>
        <v>0.44</v>
      </c>
      <c r="C15" s="26">
        <f>IFERROR((Calculator!$B$18+Calculator!$B$19)/($B$9+$C$9),0)</f>
        <v>0.44</v>
      </c>
    </row>
    <row r="16" spans="1:3" x14ac:dyDescent="0.25">
      <c r="A16" s="4" t="s">
        <v>38</v>
      </c>
      <c r="B16" s="26">
        <f>B6*Calculator!$B$20+Calculator!$B$21</f>
        <v>1.141</v>
      </c>
      <c r="C16" s="26">
        <f>C6*Calculator!$B$20+Calculator!$B$21</f>
        <v>2.5909999999999997</v>
      </c>
    </row>
    <row r="17" spans="1:3" x14ac:dyDescent="0.25">
      <c r="A17" s="12" t="s">
        <v>84</v>
      </c>
      <c r="B17" s="23">
        <f>B13+B14+B15+B16</f>
        <v>5.631000000000001</v>
      </c>
      <c r="C17" s="23">
        <f>C13+C14+C15+C16</f>
        <v>13.243500000000001</v>
      </c>
    </row>
    <row r="18" spans="1:3" x14ac:dyDescent="0.25">
      <c r="A18" s="12" t="s">
        <v>85</v>
      </c>
      <c r="B18" s="27">
        <f>B6-B17</f>
        <v>23.369</v>
      </c>
      <c r="C18" s="27">
        <f>C6-C17</f>
        <v>65.7565</v>
      </c>
    </row>
    <row r="19" spans="1:3" x14ac:dyDescent="0.25">
      <c r="A19" s="12" t="s">
        <v>69</v>
      </c>
      <c r="B19" s="24">
        <f>IFERROR(B18/B6,0)</f>
        <v>0.8058275862068965</v>
      </c>
      <c r="C19" s="24">
        <f>IFERROR(C18/C6,0)</f>
        <v>0.8323607594936709</v>
      </c>
    </row>
    <row r="21" ht="18" customHeight="1" spans="1:4" x14ac:dyDescent="0.25">
      <c r="A21" s="3" t="s">
        <v>86</v>
      </c>
      <c r="B21" s="3"/>
      <c r="C21" s="3"/>
      <c r="D21" s="3"/>
    </row>
    <row r="22" spans="2:4" x14ac:dyDescent="0.25">
      <c r="B22" s="20" t="s">
        <v>74</v>
      </c>
      <c r="C22" s="20" t="s">
        <v>75</v>
      </c>
      <c r="D22" s="20" t="s">
        <v>76</v>
      </c>
    </row>
    <row r="23" spans="1:4" x14ac:dyDescent="0.25">
      <c r="A23" s="4" t="s">
        <v>64</v>
      </c>
      <c r="B23" s="28">
        <f>B9</f>
        <v>40</v>
      </c>
      <c r="C23" s="28">
        <f>C9</f>
        <v>10</v>
      </c>
      <c r="D23" s="29">
        <f>B9+C9</f>
        <v>50</v>
      </c>
    </row>
    <row r="24" spans="1:4" x14ac:dyDescent="0.25">
      <c r="A24" s="4" t="s">
        <v>65</v>
      </c>
      <c r="B24" s="26">
        <f>B9*B6</f>
        <v>1160</v>
      </c>
      <c r="C24" s="26">
        <f>C9*C6</f>
        <v>790</v>
      </c>
      <c r="D24" s="22">
        <f>B24+C24</f>
        <v>1950</v>
      </c>
    </row>
    <row r="25" spans="1:4" x14ac:dyDescent="0.25">
      <c r="A25" s="4" t="s">
        <v>87</v>
      </c>
      <c r="B25" s="26">
        <f>B9*B17</f>
        <v>225.24000000000004</v>
      </c>
      <c r="C25" s="26">
        <f>C9*C17</f>
        <v>132.435</v>
      </c>
      <c r="D25" s="22">
        <f>B25+C25</f>
        <v>357.67500000000007</v>
      </c>
    </row>
    <row r="26" spans="1:4" x14ac:dyDescent="0.25">
      <c r="A26" s="12" t="s">
        <v>68</v>
      </c>
      <c r="B26" s="23">
        <f>B24-B25</f>
        <v>934.76</v>
      </c>
      <c r="C26" s="23">
        <f>C24-C25</f>
        <v>657.565</v>
      </c>
      <c r="D26" s="30">
        <f>B26+C26</f>
        <v>1592.3249999999998</v>
      </c>
    </row>
    <row r="27" spans="1:4" x14ac:dyDescent="0.25">
      <c r="A27" s="12" t="s">
        <v>69</v>
      </c>
      <c r="B27" s="24">
        <f>IFERROR(B26/B24,0)</f>
        <v>0.8058275862068965</v>
      </c>
      <c r="C27" s="24">
        <f>IFERROR(C26/C24,0)</f>
        <v>0.8323607594936709</v>
      </c>
      <c r="D27" s="31">
        <f>IFERROR(D26/D24,0)</f>
        <v>0.816576923076923</v>
      </c>
    </row>
    <row r="29" spans="1:4" x14ac:dyDescent="0.25">
      <c r="A29" s="12" t="s">
        <v>88</v>
      </c>
      <c r="D29" s="30">
        <f>IFERROR(D26/D23,0)</f>
        <v>31.846499999999995</v>
      </c>
    </row>
    <row r="30" spans="1:4" x14ac:dyDescent="0.25">
      <c r="A30" s="12" t="s">
        <v>48</v>
      </c>
      <c r="D30" s="32">
        <f>D26*12</f>
        <v>19107.899999999998</v>
      </c>
    </row>
    <row r="32" spans="1:4" x14ac:dyDescent="0.25">
      <c r="A32" s="6" t="s">
        <v>89</v>
      </c>
      <c r="B32" s="6"/>
      <c r="C32" s="6"/>
      <c r="D32" s="6"/>
    </row>
  </sheetData>
  <mergeCells count="6">
    <mergeCell ref="A1:D1"/>
    <mergeCell ref="A2:D2"/>
    <mergeCell ref="A4:D4"/>
    <mergeCell ref="A11:D11"/>
    <mergeCell ref="A21:D21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Scenarios</vt:lpstr>
      <vt:lpstr>Tiered Plans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2026-07-08T17:22:56Z</dcterms:created>
  <dcterms:modified xsi:type="dcterms:W3CDTF">2026-07-08T17:22:56Z</dcterms:modified>
</cp:coreProperties>
</file>